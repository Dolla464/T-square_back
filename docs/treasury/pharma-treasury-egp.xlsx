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الإعدادات" sheetId="2" state="visible" r:id="rId2"/>
    <sheet name="قواعد_ضريبية" sheetId="3" state="visible" r:id="rId3"/>
    <sheet name="التصنيفات" sheetId="4" state="visible" r:id="rId4"/>
    <sheet name="حسابات_تحليلية" sheetId="5" state="visible" r:id="rId5"/>
    <sheet name="الحسابات" sheetId="6" state="visible" r:id="rId6"/>
    <sheet name="دليل_حسابات_مقابل" sheetId="7" state="visible" r:id="rId7"/>
    <sheet name="الجهات" sheetId="8" state="visible" r:id="rId8"/>
    <sheet name="حركات_يومية" sheetId="9" state="visible" r:id="rId9"/>
    <sheet name="تحويلات" sheetId="10" state="visible" r:id="rId10"/>
    <sheet name="شيكات" sheetId="11" state="visible" r:id="rId11"/>
    <sheet name="دفتر_الحركات_المعتمدة" sheetId="12" state="visible" r:id="rId12"/>
    <sheet name="_دفتر_مرتب" sheetId="13" state="hidden" r:id="rId13"/>
    <sheet name="سجل_التدقيق" sheetId="14" state="visible" r:id="rId14"/>
    <sheet name="الموافقات" sheetId="15" state="visible" r:id="rId15"/>
    <sheet name="مطابقة_البنك" sheetId="16" state="visible" r:id="rId16"/>
    <sheet name="جرد_الخزينة" sheetId="17" state="visible" r:id="rId17"/>
    <sheet name="تحليل_تدفقات_نقدية" sheetId="18" state="visible" r:id="rId18"/>
    <sheet name="قبض_حسب_قناة_البيع" sheetId="19" state="visible" r:id="rId19"/>
    <sheet name="لوحة_التحكم" sheetId="20" state="visible" r:id="rId20"/>
    <sheet name="تقرير_شهري" sheetId="21" state="visible" r:id="rId2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 readingOrder="2"/>
    </xf>
    <xf numFmtId="0" fontId="1" fillId="2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ables/table1.xml><?xml version="1.0" encoding="utf-8"?>
<table xmlns="http://schemas.openxmlformats.org/spreadsheetml/2006/main" id="1" name="tblTax" displayName="tblTax" ref="A1:E5" headerRowCount="1">
  <autoFilter ref="A1:E5"/>
  <tableColumns count="5">
    <tableColumn id="1" name="كود_معالجة_ضريبية"/>
    <tableColumn id="2" name="الاسم"/>
    <tableColumn id="3" name="نوع"/>
    <tableColumn id="4" name="القيمة"/>
    <tableColumn id="5" name="ملاحظ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at" displayName="tblCat" ref="A1:E12" headerRowCount="1">
  <autoFilter ref="A1:E12"/>
  <tableColumns count="5">
    <tableColumn id="1" name="كود_التصنيف"/>
    <tableColumn id="2" name="اسم_التصنيف"/>
    <tableColumn id="3" name="مركز_التكلفة"/>
    <tableColumn id="4" name="نوع_تدفق"/>
    <tableColumn id="5" name="يظهر_في_تحليل_التدف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Analytical" displayName="tblAnalytical" ref="A1:C6" headerRowCount="1">
  <autoFilter ref="A1:C6"/>
  <tableColumns count="3">
    <tableColumn id="1" name="كود_تحليلي"/>
    <tableColumn id="2" name="اسم_الحساب_المقابل"/>
    <tableColumn id="3" name="نو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Accounts" displayName="tblAccounts" ref="A1:F7" headerRowCount="1">
  <autoFilter ref="A1:F7"/>
  <tableColumns count="6">
    <tableColumn id="1" name="كود_الحساب"/>
    <tableColumn id="2" name="اسم_الحساب"/>
    <tableColumn id="3" name="نوع_حساب"/>
    <tableColumn id="4" name="رصيد_افتتاحي"/>
    <tableColumn id="5" name="يُدرج_في_السيولة_المتاحة"/>
    <tableColumn id="6" name="نشط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ontra" displayName="tblContra" ref="A1:E13" headerRowCount="1">
  <autoFilter ref="A1:E13"/>
  <tableColumns count="5">
    <tableColumn id="1" name="مفتاح_الحساب_المقابل"/>
    <tableColumn id="2" name="كود_التصنيف"/>
    <tableColumn id="3" name="النوع"/>
    <tableColumn id="4" name="كود_معالجة_ضريبية"/>
    <tableColumn id="5" name="كود_تحليلي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arties" displayName="tblParties" ref="A1:E4" headerRowCount="1">
  <autoFilter ref="A1:E4"/>
  <tableColumns count="5">
    <tableColumn id="1" name="كود_الجهة"/>
    <tableColumn id="2" name="الاسم"/>
    <tableColumn id="3" name="نوع_الطرف"/>
    <tableColumn id="4" name="قناة_افتراضية"/>
    <tableColumn id="5" name="نشط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Move" displayName="tblMove" ref="A1:AE152" headerRowCount="1">
  <autoFilter ref="A1:AE152"/>
  <tableColumns count="31">
    <tableColumn id="1" name="رقم_الحركة"/>
    <tableColumn id="2" name="رقم_نسخة"/>
    <tableColumn id="3" name="التاريخ"/>
    <tableColumn id="4" name="نوع_الحركة"/>
    <tableColumn id="5" name="الحساب"/>
    <tableColumn id="6" name="مدين"/>
    <tableColumn id="7" name="دائن"/>
    <tableColumn id="8" name="كود_التصنيف"/>
    <tableColumn id="9" name="كود_معالجة_ضريبية"/>
    <tableColumn id="10" name="قبل_الضريبة"/>
    <tableColumn id="11" name="مبلغ_الضريبة"/>
    <tableColumn id="12" name="الإجمالي"/>
    <tableColumn id="13" name="الجهة"/>
    <tableColumn id="14" name="نوع_الطرف"/>
    <tableColumn id="15" name="قناة_البيع"/>
    <tableColumn id="16" name="مرجع"/>
    <tableColumn id="17" name="طريقة_الدفع"/>
    <tableColumn id="18" name="رقم_شيك"/>
    <tableColumn id="19" name="نوع_تدفق"/>
    <tableColumn id="20" name="يؤثر_في_الرصيد"/>
    <tableColumn id="21" name="يُحسب_في_التدفق_التجاري"/>
    <tableColumn id="22" name="حالة_السجل"/>
    <tableColumn id="23" name="مرجع_الحركة_الأصلية"/>
    <tableColumn id="24" name="مُعكَس_بواسطة"/>
    <tableColumn id="25" name="مفتاح_المقابل"/>
    <tableColumn id="26" name="عدد_تطابقات"/>
    <tableColumn id="27" name="خطأ_المقابل"/>
    <tableColumn id="28" name="الحساب_المقابل"/>
    <tableColumn id="29" name="يسمح_بالاعتماد"/>
    <tableColumn id="30" name="حالة_الاعتماد"/>
    <tableColumn id="31" name="الوص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Xfer" displayName="tblXfer" ref="A1:AE52" headerRowCount="1">
  <autoFilter ref="A1:AE52"/>
  <tableColumns count="31">
    <tableColumn id="1" name="رقم_الحركة"/>
    <tableColumn id="2" name="رقم_نسخة"/>
    <tableColumn id="3" name="التاريخ"/>
    <tableColumn id="4" name="نوع_الحركة"/>
    <tableColumn id="5" name="الحساب"/>
    <tableColumn id="6" name="مدين"/>
    <tableColumn id="7" name="دائن"/>
    <tableColumn id="8" name="كود_التصنيف"/>
    <tableColumn id="9" name="كود_معالجة_ضريبية"/>
    <tableColumn id="10" name="قبل_الضريبة"/>
    <tableColumn id="11" name="مبلغ_الضريبة"/>
    <tableColumn id="12" name="الإجمالي"/>
    <tableColumn id="13" name="الجهة"/>
    <tableColumn id="14" name="نوع_الطرف"/>
    <tableColumn id="15" name="قناة_البيع"/>
    <tableColumn id="16" name="مرجع"/>
    <tableColumn id="17" name="طريقة_الدفع"/>
    <tableColumn id="18" name="رقم_شيك"/>
    <tableColumn id="19" name="نوع_تدفق"/>
    <tableColumn id="20" name="يؤثر_في_الرصيد"/>
    <tableColumn id="21" name="يُحسب_في_التدفق_التجاري"/>
    <tableColumn id="22" name="حالة_السجل"/>
    <tableColumn id="23" name="مرجع_الحركة_الأصلية"/>
    <tableColumn id="24" name="مُعكَس_بواسطة"/>
    <tableColumn id="25" name="مفتاح_المقابل"/>
    <tableColumn id="26" name="عدد_تطابقات"/>
    <tableColumn id="27" name="خطأ_المقابل"/>
    <tableColumn id="28" name="الحساب_المقابل"/>
    <tableColumn id="29" name="يسمح_بالاعتماد"/>
    <tableColumn id="30" name="حالة_الاعتماد"/>
    <tableColumn id="31" name="الوص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hecks" displayName="tblChecks" ref="A1:I2" headerRowCount="1">
  <autoFilter ref="A1:I2"/>
  <tableColumns count="9">
    <tableColumn id="1" name="رقم_الشيك"/>
    <tableColumn id="2" name="TRX_استلام"/>
    <tableColumn id="3" name="TRX_إيداع"/>
    <tableColumn id="4" name="TRX_تحصيل"/>
    <tableColumn id="5" name="الجهة"/>
    <tableColumn id="6" name="المبلغ"/>
    <tableColumn id="7" name="تاريخ_الاستحقاق"/>
    <tableColumn id="8" name="الحالة"/>
    <tableColumn id="9" name="ملاحظة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ashCount" displayName="tblCashCount" ref="A1:G50" headerRowCount="1">
  <autoFilter ref="A1:G50"/>
  <tableColumns count="7">
    <tableColumn id="1" name="التاريخ"/>
    <tableColumn id="2" name="الحساب"/>
    <tableColumn id="3" name="رصيد_الدفتر"/>
    <tableColumn id="4" name="عد_فعلي"/>
    <tableColumn id="5" name="فرق"/>
    <tableColumn id="6" name="سبب"/>
    <tableColumn id="7" name="معتم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نظام حركة خزينة — شركة أدوية بشرية (CMO + توزيع)</t>
        </is>
      </c>
    </row>
    <row r="2">
      <c r="A2" s="1" t="inlineStr"/>
    </row>
    <row r="3">
      <c r="A3" s="1" t="inlineStr">
        <is>
          <t>1) أدخل الحركات في «حركات_يومية» ثم «معتمد» بعد التحقق (يسمح_بالاعتماد = نعم).</t>
        </is>
      </c>
    </row>
    <row r="4">
      <c r="A4" s="1" t="inlineStr">
        <is>
          <t>2) التحويلات في «تحويلات» — سطران لكل TRX (تحويل_داخلي، لا تدفق تجاري).</t>
        </is>
      </c>
    </row>
    <row r="5">
      <c r="A5" s="1" t="inlineStr">
        <is>
          <t>3) الشيكات: استلام (تدفق تجاري) → إيداع → تحصيل (تحويلات فقط).</t>
        </is>
      </c>
    </row>
    <row r="6">
      <c r="A6" s="1" t="inlineStr">
        <is>
          <t>4) «دفتر_الحركات_المعتمدة» = FILTER — لا تعديل يدوي.</t>
        </is>
      </c>
    </row>
    <row r="7">
      <c r="A7" s="1" t="inlineStr">
        <is>
          <t>5) العكس: TRX جديد نوع_الحركة=عكس؛ الأصل → معكوسة + يؤثر_في_الرصيد=لا.</t>
        </is>
      </c>
    </row>
    <row r="8">
      <c r="A8" s="1" t="inlineStr">
        <is>
          <t>6) Excel 365 مطلوب (FILTER, XLOOKUP, SORT, SCAN).</t>
        </is>
      </c>
    </row>
    <row r="9">
      <c r="A9" s="1" t="inlineStr"/>
    </row>
    <row r="10">
      <c r="A10" s="1" t="inlineStr">
        <is>
          <t>نسخ احتياطي أسبوعي. لا P&amp;L — استخدم «تحليل_تدفقات_نقدية».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2" t="inlineStr">
        <is>
          <t>المفتاح</t>
        </is>
      </c>
      <c r="B1" s="2" t="inlineStr">
        <is>
          <t>القيمة</t>
        </is>
      </c>
    </row>
    <row r="2">
      <c r="A2" t="inlineStr">
        <is>
          <t>اسم_الشركة</t>
        </is>
      </c>
      <c r="B2" t="inlineStr">
        <is>
          <t>شركة الأدوية — مثال</t>
        </is>
      </c>
    </row>
    <row r="3">
      <c r="A3" t="inlineStr">
        <is>
          <t>السنة_المالية</t>
        </is>
      </c>
      <c r="B3" t="n">
        <v>2026</v>
      </c>
    </row>
    <row r="4">
      <c r="A4" t="inlineStr">
        <is>
          <t>العملة</t>
        </is>
      </c>
      <c r="B4" t="inlineStr">
        <is>
          <t>EGP</t>
        </is>
      </c>
    </row>
    <row r="5">
      <c r="A5" t="inlineStr">
        <is>
          <t>حد_موافقة_تلقائي</t>
        </is>
      </c>
      <c r="B5" t="n">
        <v>5000</v>
      </c>
    </row>
    <row r="6">
      <c r="A6" t="inlineStr">
        <is>
          <t>حد_يتطلب_مدير_مالي</t>
        </is>
      </c>
      <c r="B6" t="n">
        <v>50000</v>
      </c>
    </row>
    <row r="7">
      <c r="A7" t="inlineStr">
        <is>
          <t>حد_يتطلب_مدير_عام</t>
        </is>
      </c>
      <c r="B7" t="n">
        <v>200000</v>
      </c>
    </row>
    <row r="8">
      <c r="A8" t="inlineStr">
        <is>
          <t>بادئة_TRX</t>
        </is>
      </c>
      <c r="B8" t="inlineStr">
        <is>
          <t>TRX-</t>
        </is>
      </c>
    </row>
    <row r="9">
      <c r="A9" t="inlineStr">
        <is>
          <t>TRX_التالي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rightToLeft="1"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كود_معالجة_ضريبية</t>
        </is>
      </c>
      <c r="B1" s="2" t="inlineStr">
        <is>
          <t>الاسم</t>
        </is>
      </c>
      <c r="C1" s="2" t="inlineStr">
        <is>
          <t>نوع</t>
        </is>
      </c>
      <c r="D1" s="2" t="inlineStr">
        <is>
          <t>القيمة</t>
        </is>
      </c>
      <c r="E1" s="2" t="inlineStr">
        <is>
          <t>ملاحظة</t>
        </is>
      </c>
    </row>
    <row r="2">
      <c r="A2" t="inlineStr">
        <is>
          <t>VAT_STD</t>
        </is>
      </c>
      <c r="B2" t="inlineStr">
        <is>
          <t>ض.ق.م قياسي</t>
        </is>
      </c>
      <c r="C2" t="inlineStr">
        <is>
          <t>نسبة</t>
        </is>
      </c>
      <c r="D2" t="n">
        <v>0.14</v>
      </c>
      <c r="E2" t="inlineStr">
        <is>
          <t>عدّل النسبة — لا افتراض ثابت</t>
        </is>
      </c>
    </row>
    <row r="3">
      <c r="A3" t="inlineStr">
        <is>
          <t>VAT_ZERO</t>
        </is>
      </c>
      <c r="B3" t="inlineStr">
        <is>
          <t>ضريبة صفر</t>
        </is>
      </c>
      <c r="C3" t="inlineStr">
        <is>
          <t>نسبة</t>
        </is>
      </c>
      <c r="D3" t="n">
        <v>0</v>
      </c>
      <c r="E3" t="inlineStr"/>
    </row>
    <row r="4">
      <c r="A4" t="inlineStr">
        <is>
          <t>EXEMPT</t>
        </is>
      </c>
      <c r="B4" t="inlineStr">
        <is>
          <t>معفى</t>
        </is>
      </c>
      <c r="C4" t="inlineStr">
        <is>
          <t>معفى</t>
        </is>
      </c>
      <c r="D4" t="n">
        <v>0</v>
      </c>
      <c r="E4" t="inlineStr"/>
    </row>
    <row r="5">
      <c r="A5" t="inlineStr">
        <is>
          <t>OUT_SCOPE</t>
        </is>
      </c>
      <c r="B5" t="inlineStr">
        <is>
          <t>خارج النطاق</t>
        </is>
      </c>
      <c r="C5" t="inlineStr">
        <is>
          <t>—</t>
        </is>
      </c>
      <c r="D5" t="n">
        <v>0</v>
      </c>
      <c r="E5" t="inlineStr">
        <is>
          <t>تحويلات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كود_التصنيف</t>
        </is>
      </c>
      <c r="B1" s="2" t="inlineStr">
        <is>
          <t>اسم_التصنيف</t>
        </is>
      </c>
      <c r="C1" s="2" t="inlineStr">
        <is>
          <t>مركز_التكلفة</t>
        </is>
      </c>
      <c r="D1" s="2" t="inlineStr">
        <is>
          <t>نوع_تدفق</t>
        </is>
      </c>
      <c r="E1" s="2" t="inlineStr">
        <is>
          <t>يظهر_في_تحليل_التدفق</t>
        </is>
      </c>
    </row>
    <row r="2">
      <c r="A2" t="inlineStr">
        <is>
          <t>REV-SALES</t>
        </is>
      </c>
      <c r="B2" t="inlineStr">
        <is>
          <t>تحصيل مبيعات</t>
        </is>
      </c>
      <c r="C2" t="inlineStr">
        <is>
          <t>مبيعات</t>
        </is>
      </c>
      <c r="D2" t="inlineStr">
        <is>
          <t>تشغيلي</t>
        </is>
      </c>
      <c r="E2" t="inlineStr">
        <is>
          <t>نعم</t>
        </is>
      </c>
    </row>
    <row r="3">
      <c r="A3" t="inlineStr">
        <is>
          <t>REV-OTHER</t>
        </is>
      </c>
      <c r="B3" t="inlineStr">
        <is>
          <t>إيرادات أخرى</t>
        </is>
      </c>
      <c r="C3" t="inlineStr">
        <is>
          <t>إداري</t>
        </is>
      </c>
      <c r="D3" t="inlineStr">
        <is>
          <t>تشغيلي</t>
        </is>
      </c>
      <c r="E3" t="inlineStr">
        <is>
          <t>نعم</t>
        </is>
      </c>
    </row>
    <row r="4">
      <c r="A4" t="inlineStr">
        <is>
          <t>REV-RETURN</t>
        </is>
      </c>
      <c r="B4" t="inlineStr">
        <is>
          <t>مردودات مبيعات</t>
        </is>
      </c>
      <c r="C4" t="inlineStr">
        <is>
          <t>مبيعات</t>
        </is>
      </c>
      <c r="D4" t="inlineStr">
        <is>
          <t>تشغيلي</t>
        </is>
      </c>
      <c r="E4" t="inlineStr">
        <is>
          <t>نعم</t>
        </is>
      </c>
    </row>
    <row r="5">
      <c r="A5" t="inlineStr">
        <is>
          <t>EXP-CMO</t>
        </is>
      </c>
      <c r="B5" t="inlineStr">
        <is>
          <t>تصنيع تعاقدي CMO</t>
        </is>
      </c>
      <c r="C5" t="inlineStr">
        <is>
          <t>تعاقد_تصنيع</t>
        </is>
      </c>
      <c r="D5" t="inlineStr">
        <is>
          <t>تشغيلي</t>
        </is>
      </c>
      <c r="E5" t="inlineStr">
        <is>
          <t>نعم</t>
        </is>
      </c>
    </row>
    <row r="6">
      <c r="A6" t="inlineStr">
        <is>
          <t>EXP-PRODUCT</t>
        </is>
      </c>
      <c r="B6" t="inlineStr">
        <is>
          <t>شراء منتج تام</t>
        </is>
      </c>
      <c r="C6" t="inlineStr">
        <is>
          <t>تعاقد_تصنيع</t>
        </is>
      </c>
      <c r="D6" t="inlineStr">
        <is>
          <t>تشغيلي</t>
        </is>
      </c>
      <c r="E6" t="inlineStr">
        <is>
          <t>نعم</t>
        </is>
      </c>
    </row>
    <row r="7">
      <c r="A7" t="inlineStr">
        <is>
          <t>EXP-QA</t>
        </is>
      </c>
      <c r="B7" t="inlineStr">
        <is>
          <t>تحليل وثبات</t>
        </is>
      </c>
      <c r="C7" t="inlineStr">
        <is>
          <t>جودة</t>
        </is>
      </c>
      <c r="D7" t="inlineStr">
        <is>
          <t>تشغيلي</t>
        </is>
      </c>
      <c r="E7" t="inlineStr">
        <is>
          <t>نعم</t>
        </is>
      </c>
    </row>
    <row r="8">
      <c r="A8" t="inlineStr">
        <is>
          <t>EXP-EDA</t>
        </is>
      </c>
      <c r="B8" t="inlineStr">
        <is>
          <t>رسوم EDA / تراخيص</t>
        </is>
      </c>
      <c r="C8" t="inlineStr">
        <is>
          <t>تنظيمي</t>
        </is>
      </c>
      <c r="D8" t="inlineStr">
        <is>
          <t>تشغيلي</t>
        </is>
      </c>
      <c r="E8" t="inlineStr">
        <is>
          <t>نعم</t>
        </is>
      </c>
    </row>
    <row r="9">
      <c r="A9" t="inlineStr">
        <is>
          <t>EXP-LOG</t>
        </is>
      </c>
      <c r="B9" t="inlineStr">
        <is>
          <t>تخزين ونقل</t>
        </is>
      </c>
      <c r="C9" t="inlineStr">
        <is>
          <t>لوجistics</t>
        </is>
      </c>
      <c r="D9" t="inlineStr">
        <is>
          <t>تشغيلي</t>
        </is>
      </c>
      <c r="E9" t="inlineStr">
        <is>
          <t>نعم</t>
        </is>
      </c>
    </row>
    <row r="10">
      <c r="A10" t="inlineStr">
        <is>
          <t>EXP-MKT</t>
        </is>
      </c>
      <c r="B10" t="inlineStr">
        <is>
          <t>تسويق وعينات</t>
        </is>
      </c>
      <c r="C10" t="inlineStr">
        <is>
          <t>تسويق</t>
        </is>
      </c>
      <c r="D10" t="inlineStr">
        <is>
          <t>تشغيلي</t>
        </is>
      </c>
      <c r="E10" t="inlineStr">
        <is>
          <t>نعم</t>
        </is>
      </c>
    </row>
    <row r="11">
      <c r="A11" t="inlineStr">
        <is>
          <t>EXP-ADMIN</t>
        </is>
      </c>
      <c r="B11" t="inlineStr">
        <is>
          <t>إداري ورواتب</t>
        </is>
      </c>
      <c r="C11" t="inlineStr">
        <is>
          <t>إداري</t>
        </is>
      </c>
      <c r="D11" t="inlineStr">
        <is>
          <t>تشغيلي</t>
        </is>
      </c>
      <c r="E11" t="inlineStr">
        <is>
          <t>نعم</t>
        </is>
      </c>
    </row>
    <row r="12">
      <c r="A12" t="inlineStr">
        <is>
          <t>TRF-INT</t>
        </is>
      </c>
      <c r="B12" t="inlineStr">
        <is>
          <t>تحويل داخلي</t>
        </is>
      </c>
      <c r="C12" t="inlineStr">
        <is>
          <t>—</t>
        </is>
      </c>
      <c r="D12" t="inlineStr">
        <is>
          <t>داخلي</t>
        </is>
      </c>
      <c r="E12" t="inlineStr">
        <is>
          <t>لا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كود_تحليلي</t>
        </is>
      </c>
      <c r="B1" s="2" t="inlineStr">
        <is>
          <t>اسم_الحساب_المقابل</t>
        </is>
      </c>
      <c r="C1" s="2" t="inlineStr">
        <is>
          <t>نوع</t>
        </is>
      </c>
    </row>
    <row r="2">
      <c r="A2" t="inlineStr">
        <is>
          <t>AN-AR</t>
        </is>
      </c>
      <c r="B2" t="inlineStr">
        <is>
          <t>تحصيلات_العميل</t>
        </is>
      </c>
      <c r="C2" t="inlineStr">
        <is>
          <t>تحصيلات_عملاء</t>
        </is>
      </c>
    </row>
    <row r="3">
      <c r="A3" t="inlineStr">
        <is>
          <t>AN-AR-REC</t>
        </is>
      </c>
      <c r="B3" t="inlineStr">
        <is>
          <t>ذمم_تحصيل_عملاء</t>
        </is>
      </c>
      <c r="C3" t="inlineStr">
        <is>
          <t>ذمم</t>
        </is>
      </c>
    </row>
    <row r="4">
      <c r="A4" t="inlineStr">
        <is>
          <t>AN-EXP-CMO</t>
        </is>
      </c>
      <c r="B4" t="inlineStr">
        <is>
          <t>مصروف_CMO_تحليلي</t>
        </is>
      </c>
      <c r="C4" t="inlineStr">
        <is>
          <t>مصروف</t>
        </is>
      </c>
    </row>
    <row r="5">
      <c r="A5" t="inlineStr">
        <is>
          <t>AN-EXP-OPS</t>
        </is>
      </c>
      <c r="B5" t="inlineStr">
        <is>
          <t>مصروف_تشغيل_تحليلي</t>
        </is>
      </c>
      <c r="C5" t="inlineStr">
        <is>
          <t>مصروف</t>
        </is>
      </c>
    </row>
    <row r="6">
      <c r="A6" t="inlineStr">
        <is>
          <t>AN-TRF</t>
        </is>
      </c>
      <c r="B6" t="inlineStr">
        <is>
          <t>تحويل_داخلي_تحليلي</t>
        </is>
      </c>
      <c r="C6" t="inlineStr">
        <is>
          <t>داخلي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كود_الحساب</t>
        </is>
      </c>
      <c r="B1" s="2" t="inlineStr">
        <is>
          <t>اسم_الحساب</t>
        </is>
      </c>
      <c r="C1" s="2" t="inlineStr">
        <is>
          <t>نوع_حساب</t>
        </is>
      </c>
      <c r="D1" s="2" t="inlineStr">
        <is>
          <t>رصيد_افتتاحي</t>
        </is>
      </c>
      <c r="E1" s="2" t="inlineStr">
        <is>
          <t>يُدرج_في_السيولة_المتاحة</t>
        </is>
      </c>
      <c r="F1" s="2" t="inlineStr">
        <is>
          <t>نشط</t>
        </is>
      </c>
    </row>
    <row r="2">
      <c r="A2" t="inlineStr">
        <is>
          <t>ACC-CASH</t>
        </is>
      </c>
      <c r="B2" t="inlineStr">
        <is>
          <t>خزينة نقدية</t>
        </is>
      </c>
      <c r="C2" t="inlineStr">
        <is>
          <t>نقدي</t>
        </is>
      </c>
      <c r="D2" t="n">
        <v>0</v>
      </c>
      <c r="E2" t="inlineStr">
        <is>
          <t>نعم</t>
        </is>
      </c>
      <c r="F2" t="inlineStr">
        <is>
          <t>نعم</t>
        </is>
      </c>
    </row>
    <row r="3">
      <c r="A3" t="inlineStr">
        <is>
          <t>ACC-CHK-IN</t>
        </is>
      </c>
      <c r="B3" t="inlineStr">
        <is>
          <t>شيكات_واردة_بالخزينة</t>
        </is>
      </c>
      <c r="C3" t="inlineStr">
        <is>
          <t>وسيط_شيك</t>
        </is>
      </c>
      <c r="D3" t="n">
        <v>0</v>
      </c>
      <c r="E3" t="inlineStr">
        <is>
          <t>لا</t>
        </is>
      </c>
      <c r="F3" t="inlineStr">
        <is>
          <t>نعم</t>
        </is>
      </c>
    </row>
    <row r="4">
      <c r="A4" t="inlineStr">
        <is>
          <t>ACC-CHK-DEP</t>
        </is>
      </c>
      <c r="B4" t="inlineStr">
        <is>
          <t>شيكات_مودعة_تحت_التحصيل</t>
        </is>
      </c>
      <c r="C4" t="inlineStr">
        <is>
          <t>وسيط_شيك</t>
        </is>
      </c>
      <c r="D4" t="n">
        <v>0</v>
      </c>
      <c r="E4" t="inlineStr">
        <is>
          <t>لا</t>
        </is>
      </c>
      <c r="F4" t="inlineStr">
        <is>
          <t>نعم</t>
        </is>
      </c>
    </row>
    <row r="5">
      <c r="A5" t="inlineStr">
        <is>
          <t>ACC-BANK</t>
        </is>
      </c>
      <c r="B5" t="inlineStr">
        <is>
          <t>بنك_متاح</t>
        </is>
      </c>
      <c r="C5" t="inlineStr">
        <is>
          <t>بنك</t>
        </is>
      </c>
      <c r="D5" t="n">
        <v>0</v>
      </c>
      <c r="E5" t="inlineStr">
        <is>
          <t>نعم</t>
        </is>
      </c>
      <c r="F5" t="inlineStr">
        <is>
          <t>نعم</t>
        </is>
      </c>
    </row>
    <row r="6">
      <c r="A6" t="inlineStr">
        <is>
          <t>ACC-BANK-ESC</t>
        </is>
      </c>
      <c r="B6" t="inlineStr">
        <is>
          <t>بنك_ضمانات</t>
        </is>
      </c>
      <c r="C6" t="inlineStr">
        <is>
          <t>بنك</t>
        </is>
      </c>
      <c r="D6" t="n">
        <v>0</v>
      </c>
      <c r="E6" t="inlineStr">
        <is>
          <t>لا</t>
        </is>
      </c>
      <c r="F6" t="inlineStr">
        <is>
          <t>نعم</t>
        </is>
      </c>
    </row>
    <row r="7">
      <c r="A7" t="inlineStr">
        <is>
          <t>ACC-PETTY</t>
        </is>
      </c>
      <c r="B7" t="inlineStr">
        <is>
          <t>عهدة_مندوبي_مبيعات</t>
        </is>
      </c>
      <c r="C7" t="inlineStr">
        <is>
          <t>نقدي</t>
        </is>
      </c>
      <c r="D7" t="n">
        <v>0</v>
      </c>
      <c r="E7" t="inlineStr">
        <is>
          <t>لا</t>
        </is>
      </c>
      <c r="F7" t="inlineStr">
        <is>
          <t>نعم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مفتاح_الحساب_المقابل</t>
        </is>
      </c>
      <c r="B1" s="2" t="inlineStr">
        <is>
          <t>كود_التصنيف</t>
        </is>
      </c>
      <c r="C1" s="2" t="inlineStr">
        <is>
          <t>النوع</t>
        </is>
      </c>
      <c r="D1" s="2" t="inlineStr">
        <is>
          <t>كود_معالجة_ضريبية</t>
        </is>
      </c>
      <c r="E1" s="2" t="inlineStr">
        <is>
          <t>كود_تحليلي</t>
        </is>
      </c>
    </row>
    <row r="2">
      <c r="A2" t="inlineStr">
        <is>
          <t>REV-SALES|قبض|VAT_STD</t>
        </is>
      </c>
      <c r="B2" t="inlineStr">
        <is>
          <t>REV-SALES</t>
        </is>
      </c>
      <c r="C2" t="inlineStr">
        <is>
          <t>قبض</t>
        </is>
      </c>
      <c r="D2" t="inlineStr">
        <is>
          <t>VAT_STD</t>
        </is>
      </c>
      <c r="E2" t="inlineStr">
        <is>
          <t>AN-AR</t>
        </is>
      </c>
    </row>
    <row r="3">
      <c r="A3" t="inlineStr">
        <is>
          <t>REV-SALES|قبض|VAT_ZERO</t>
        </is>
      </c>
      <c r="B3" t="inlineStr">
        <is>
          <t>REV-SALES</t>
        </is>
      </c>
      <c r="C3" t="inlineStr">
        <is>
          <t>قبض</t>
        </is>
      </c>
      <c r="D3" t="inlineStr">
        <is>
          <t>VAT_ZERO</t>
        </is>
      </c>
      <c r="E3" t="inlineStr">
        <is>
          <t>AN-AR</t>
        </is>
      </c>
    </row>
    <row r="4">
      <c r="A4" t="inlineStr">
        <is>
          <t>REV-SALES|قبض|EXEMPT</t>
        </is>
      </c>
      <c r="B4" t="inlineStr">
        <is>
          <t>REV-SALES</t>
        </is>
      </c>
      <c r="C4" t="inlineStr">
        <is>
          <t>قبض</t>
        </is>
      </c>
      <c r="D4" t="inlineStr">
        <is>
          <t>EXEMPT</t>
        </is>
      </c>
      <c r="E4" t="inlineStr">
        <is>
          <t>AN-AR</t>
        </is>
      </c>
    </row>
    <row r="5">
      <c r="A5" t="inlineStr">
        <is>
          <t>REV-OTHER|قبض|OUT_SCOPE</t>
        </is>
      </c>
      <c r="B5" t="inlineStr">
        <is>
          <t>REV-OTHER</t>
        </is>
      </c>
      <c r="C5" t="inlineStr">
        <is>
          <t>قبض</t>
        </is>
      </c>
      <c r="D5" t="inlineStr">
        <is>
          <t>OUT_SCOPE</t>
        </is>
      </c>
      <c r="E5" t="inlineStr">
        <is>
          <t>AN-AR</t>
        </is>
      </c>
    </row>
    <row r="6">
      <c r="A6" t="inlineStr">
        <is>
          <t>EXP-CMO|صرف|VAT_STD</t>
        </is>
      </c>
      <c r="B6" t="inlineStr">
        <is>
          <t>EXP-CMO</t>
        </is>
      </c>
      <c r="C6" t="inlineStr">
        <is>
          <t>صرف</t>
        </is>
      </c>
      <c r="D6" t="inlineStr">
        <is>
          <t>VAT_STD</t>
        </is>
      </c>
      <c r="E6" t="inlineStr">
        <is>
          <t>AN-EXP-CMO</t>
        </is>
      </c>
    </row>
    <row r="7">
      <c r="A7" t="inlineStr">
        <is>
          <t>EXP-PRODUCT|صرف|VAT_STD</t>
        </is>
      </c>
      <c r="B7" t="inlineStr">
        <is>
          <t>EXP-PRODUCT</t>
        </is>
      </c>
      <c r="C7" t="inlineStr">
        <is>
          <t>صرف</t>
        </is>
      </c>
      <c r="D7" t="inlineStr">
        <is>
          <t>VAT_STD</t>
        </is>
      </c>
      <c r="E7" t="inlineStr">
        <is>
          <t>AN-EXP-CMO</t>
        </is>
      </c>
    </row>
    <row r="8">
      <c r="A8" t="inlineStr">
        <is>
          <t>EXP-QA|صرف|VAT_STD</t>
        </is>
      </c>
      <c r="B8" t="inlineStr">
        <is>
          <t>EXP-QA</t>
        </is>
      </c>
      <c r="C8" t="inlineStr">
        <is>
          <t>صرف</t>
        </is>
      </c>
      <c r="D8" t="inlineStr">
        <is>
          <t>VAT_STD</t>
        </is>
      </c>
      <c r="E8" t="inlineStr">
        <is>
          <t>AN-EXP-OPS</t>
        </is>
      </c>
    </row>
    <row r="9">
      <c r="A9" t="inlineStr">
        <is>
          <t>EXP-EDA|صرف|OUT_SCOPE</t>
        </is>
      </c>
      <c r="B9" t="inlineStr">
        <is>
          <t>EXP-EDA</t>
        </is>
      </c>
      <c r="C9" t="inlineStr">
        <is>
          <t>صرف</t>
        </is>
      </c>
      <c r="D9" t="inlineStr">
        <is>
          <t>OUT_SCOPE</t>
        </is>
      </c>
      <c r="E9" t="inlineStr">
        <is>
          <t>AN-EXP-OPS</t>
        </is>
      </c>
    </row>
    <row r="10">
      <c r="A10" t="inlineStr">
        <is>
          <t>EXP-LOG|صرف|VAT_STD</t>
        </is>
      </c>
      <c r="B10" t="inlineStr">
        <is>
          <t>EXP-LOG</t>
        </is>
      </c>
      <c r="C10" t="inlineStr">
        <is>
          <t>صرف</t>
        </is>
      </c>
      <c r="D10" t="inlineStr">
        <is>
          <t>VAT_STD</t>
        </is>
      </c>
      <c r="E10" t="inlineStr">
        <is>
          <t>AN-EXP-OPS</t>
        </is>
      </c>
    </row>
    <row r="11">
      <c r="A11" t="inlineStr">
        <is>
          <t>EXP-MKT|صرف|VAT_STD</t>
        </is>
      </c>
      <c r="B11" t="inlineStr">
        <is>
          <t>EXP-MKT</t>
        </is>
      </c>
      <c r="C11" t="inlineStr">
        <is>
          <t>صرف</t>
        </is>
      </c>
      <c r="D11" t="inlineStr">
        <is>
          <t>VAT_STD</t>
        </is>
      </c>
      <c r="E11" t="inlineStr">
        <is>
          <t>AN-EXP-OPS</t>
        </is>
      </c>
    </row>
    <row r="12">
      <c r="A12" t="inlineStr">
        <is>
          <t>EXP-ADMIN|صرف|OUT_SCOPE</t>
        </is>
      </c>
      <c r="B12" t="inlineStr">
        <is>
          <t>EXP-ADMIN</t>
        </is>
      </c>
      <c r="C12" t="inlineStr">
        <is>
          <t>صرف</t>
        </is>
      </c>
      <c r="D12" t="inlineStr">
        <is>
          <t>OUT_SCOPE</t>
        </is>
      </c>
      <c r="E12" t="inlineStr">
        <is>
          <t>AN-EXP-OPS</t>
        </is>
      </c>
    </row>
    <row r="13">
      <c r="A13" t="inlineStr">
        <is>
          <t>TRF-INT|تحويل_داخلي|OUT_SCOPE</t>
        </is>
      </c>
      <c r="B13" t="inlineStr">
        <is>
          <t>TRF-INT</t>
        </is>
      </c>
      <c r="C13" t="inlineStr">
        <is>
          <t>تحويل_داخلي</t>
        </is>
      </c>
      <c r="D13" t="inlineStr">
        <is>
          <t>OUT_SCOPE</t>
        </is>
      </c>
      <c r="E13" t="inlineStr">
        <is>
          <t>AN-TRF</t>
        </is>
      </c>
    </row>
    <row r="20">
      <c r="A20" t="inlineStr">
        <is>
          <t>تحقق_تفرد_المفتاح:</t>
        </is>
      </c>
      <c r="B20">
        <f>IF(COUNTA(tblContra[مفتاح_الحساب_المقابل])=SUMPRODUCT(1/COUNTIF(tblContra[مفتاح_الحساب_المقابل],tblContra[مفتاح_الحساب_المقابل]&amp;"")),"OK","مفتاح مكرر")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كود_الجهة</t>
        </is>
      </c>
      <c r="B1" s="2" t="inlineStr">
        <is>
          <t>الاسم</t>
        </is>
      </c>
      <c r="C1" s="2" t="inlineStr">
        <is>
          <t>نوع_الطرف</t>
        </is>
      </c>
      <c r="D1" s="2" t="inlineStr">
        <is>
          <t>قناة_افتراضية</t>
        </is>
      </c>
      <c r="E1" s="2" t="inlineStr">
        <is>
          <t>نشط</t>
        </is>
      </c>
    </row>
    <row r="2">
      <c r="A2" t="inlineStr">
        <is>
          <t>P001</t>
        </is>
      </c>
      <c r="B2" t="inlineStr">
        <is>
          <t>صيدلية النور — مثال</t>
        </is>
      </c>
      <c r="C2" t="inlineStr">
        <is>
          <t>عميل</t>
        </is>
      </c>
      <c r="D2" t="inlineStr">
        <is>
          <t>صيدليات</t>
        </is>
      </c>
      <c r="E2" t="inlineStr">
        <is>
          <t>نعم</t>
        </is>
      </c>
    </row>
    <row r="3">
      <c r="A3" t="inlineStr">
        <is>
          <t>P002</t>
        </is>
      </c>
      <c r="B3" t="inlineStr">
        <is>
          <t>موزع القاهرة — مثال</t>
        </is>
      </c>
      <c r="C3" t="inlineStr">
        <is>
          <t>عميل</t>
        </is>
      </c>
      <c r="D3" t="inlineStr">
        <is>
          <t>موزعون</t>
        </is>
      </c>
      <c r="E3" t="inlineStr">
        <is>
          <t>نعم</t>
        </is>
      </c>
    </row>
    <row r="4">
      <c r="A4" t="inlineStr">
        <is>
          <t>V001</t>
        </is>
      </c>
      <c r="B4" t="inlineStr">
        <is>
          <t>CMO Pharma — مثال</t>
        </is>
      </c>
      <c r="C4" t="inlineStr">
        <is>
          <t>CMO</t>
        </is>
      </c>
      <c r="D4" t="inlineStr">
        <is>
          <t>—</t>
        </is>
      </c>
      <c r="E4" t="inlineStr">
        <is>
          <t>نعم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52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رقم_الحركة</t>
        </is>
      </c>
      <c r="B1" s="2" t="inlineStr">
        <is>
          <t>رقم_نسخة</t>
        </is>
      </c>
      <c r="C1" s="2" t="inlineStr">
        <is>
          <t>التاريخ</t>
        </is>
      </c>
      <c r="D1" s="2" t="inlineStr">
        <is>
          <t>نوع_الحركة</t>
        </is>
      </c>
      <c r="E1" s="2" t="inlineStr">
        <is>
          <t>الحساب</t>
        </is>
      </c>
      <c r="F1" s="2" t="inlineStr">
        <is>
          <t>مدين</t>
        </is>
      </c>
      <c r="G1" s="2" t="inlineStr">
        <is>
          <t>دائن</t>
        </is>
      </c>
      <c r="H1" s="2" t="inlineStr">
        <is>
          <t>كود_التصنيف</t>
        </is>
      </c>
      <c r="I1" s="2" t="inlineStr">
        <is>
          <t>كود_معالجة_ضريبية</t>
        </is>
      </c>
      <c r="J1" s="2" t="inlineStr">
        <is>
          <t>قبل_الضريبة</t>
        </is>
      </c>
      <c r="K1" s="2" t="inlineStr">
        <is>
          <t>مبلغ_الضريبة</t>
        </is>
      </c>
      <c r="L1" s="2" t="inlineStr">
        <is>
          <t>الإجمالي</t>
        </is>
      </c>
      <c r="M1" s="2" t="inlineStr">
        <is>
          <t>الجهة</t>
        </is>
      </c>
      <c r="N1" s="2" t="inlineStr">
        <is>
          <t>نوع_الطرف</t>
        </is>
      </c>
      <c r="O1" s="2" t="inlineStr">
        <is>
          <t>قناة_البيع</t>
        </is>
      </c>
      <c r="P1" s="2" t="inlineStr">
        <is>
          <t>مرجع</t>
        </is>
      </c>
      <c r="Q1" s="2" t="inlineStr">
        <is>
          <t>طريقة_الدفع</t>
        </is>
      </c>
      <c r="R1" s="2" t="inlineStr">
        <is>
          <t>رقم_شيك</t>
        </is>
      </c>
      <c r="S1" s="2" t="inlineStr">
        <is>
          <t>نوع_تدفق</t>
        </is>
      </c>
      <c r="T1" s="2" t="inlineStr">
        <is>
          <t>يؤثر_في_الرصيد</t>
        </is>
      </c>
      <c r="U1" s="2" t="inlineStr">
        <is>
          <t>يُحسب_في_التدفق_التجاري</t>
        </is>
      </c>
      <c r="V1" s="2" t="inlineStr">
        <is>
          <t>حالة_السجل</t>
        </is>
      </c>
      <c r="W1" s="2" t="inlineStr">
        <is>
          <t>مرجع_الحركة_الأصلية</t>
        </is>
      </c>
      <c r="X1" s="2" t="inlineStr">
        <is>
          <t>مُعكَس_بواسطة</t>
        </is>
      </c>
      <c r="Y1" s="2" t="inlineStr">
        <is>
          <t>مفتاح_المقابل</t>
        </is>
      </c>
      <c r="Z1" s="2" t="inlineStr">
        <is>
          <t>عدد_تطابقات</t>
        </is>
      </c>
      <c r="AA1" s="2" t="inlineStr">
        <is>
          <t>خطأ_المقابل</t>
        </is>
      </c>
      <c r="AB1" s="2" t="inlineStr">
        <is>
          <t>الحساب_المقابل</t>
        </is>
      </c>
      <c r="AC1" s="2" t="inlineStr">
        <is>
          <t>يسمح_بالاعتماد</t>
        </is>
      </c>
      <c r="AD1" s="2" t="inlineStr">
        <is>
          <t>حالة_الاعتماد</t>
        </is>
      </c>
      <c r="AE1" s="2" t="inlineStr">
        <is>
          <t>الوصف</t>
        </is>
      </c>
    </row>
    <row r="2">
      <c r="A2" t="inlineStr">
        <is>
          <t>TRX-00001</t>
        </is>
      </c>
      <c r="B2" t="n">
        <v>1</v>
      </c>
      <c r="C2" t="inlineStr">
        <is>
          <t>2026-01-15</t>
        </is>
      </c>
      <c r="D2" t="inlineStr">
        <is>
          <t>قبض</t>
        </is>
      </c>
      <c r="E2" t="inlineStr">
        <is>
          <t>شيكات_واردة_بالخزينة</t>
        </is>
      </c>
      <c r="F2">
        <f>IF([@يؤثر_في_الرصيد]&lt;&gt;"نعم",0,IF([@حالة_السجل]="معكوسة",0,IF([@نوع_الحركة]="قبض",[@الإجمالي],0)))</f>
        <v/>
      </c>
      <c r="G2">
        <f>IF([@يؤثر_في_الرصيد]&lt;&gt;"نعم",0,IF([@حالة_السجل]="معكوسة",0,IF([@نوع_الحركة]="صرف",[@الإجمالي],IF([@نوع_الحركة]="عكس",[@الإجمالي],0))))</f>
        <v/>
      </c>
      <c r="H2" t="inlineStr">
        <is>
          <t>REV-SALES</t>
        </is>
      </c>
      <c r="I2" t="inlineStr">
        <is>
          <t>VAT_STD</t>
        </is>
      </c>
      <c r="J2" t="n">
        <v>10000</v>
      </c>
      <c r="K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">
        <f>[@قبل_الضريبة]+[@مبلغ_الضريبة]</f>
        <v/>
      </c>
      <c r="M2" t="inlineStr">
        <is>
          <t>P001</t>
        </is>
      </c>
      <c r="N2" t="inlineStr">
        <is>
          <t>عميل</t>
        </is>
      </c>
      <c r="O2" t="inlineStr">
        <is>
          <t>صيدليات</t>
        </is>
      </c>
      <c r="S2">
        <f>IF([@كود_التصنيف]="","",_xlfn._xlws.XLOOKUP([@كود_التصنيف],tblCat[كود_التصنيف],tblCat[نوع_تدفق],""))</f>
        <v/>
      </c>
      <c r="T2" t="inlineStr">
        <is>
          <t>نعم</t>
        </is>
      </c>
      <c r="U2" t="inlineStr">
        <is>
          <t>نعم</t>
        </is>
      </c>
      <c r="V2" t="inlineStr">
        <is>
          <t>معتمد</t>
        </is>
      </c>
      <c r="Y2">
        <f>IF([@كود_التصنيف]="","",[@كود_التصنيف]&amp;"|"&amp;[@نوع_الحركة]&amp;"|"&amp;[@كود_معالجة_ضريبية])</f>
        <v/>
      </c>
      <c r="Z2">
        <f>IF([@مفتاح_المقابل]="",0,COUNTIF(tblContra[مفتاح_الحساب_المقابل],[@مفتاح_المقابل]))</f>
        <v/>
      </c>
      <c r="AA2">
        <f>IF([@مفتاح_المقابل]="","",IF([@عدد_تطابقات]=0,"لا تطابق في دليل المقابل",IF([@عدد_تطابقات]&gt;1,"تطابق مكرر في الدليل","")))</f>
        <v/>
      </c>
      <c r="AB2">
        <f>IF([@عدد_تطابقات]&lt;&gt;1,"",_xlfn._xlws.XLOOKUP([@مفتاح_المقابل],tblContra[مفتاح_الحساب_المقابل],tblContra[كود_تحليلي],""))</f>
        <v/>
      </c>
      <c r="AC2">
        <f>IF(AND([@خطأ_المقابل]="",[@الحساب]&lt;&gt;"",[@كود_التصنيف]&lt;&gt;"",[@الإجمالي]&gt;0),"نعم","لا")</f>
        <v/>
      </c>
      <c r="AD2" t="inlineStr">
        <is>
          <t>معتمد</t>
        </is>
      </c>
      <c r="AE2" t="inlineStr">
        <is>
          <t>مثال: استلام شيك — تدفق تجاري</t>
        </is>
      </c>
    </row>
    <row r="3">
      <c r="F3">
        <f>IF([@يؤثر_في_الرصيد]&lt;&gt;"نعم",0,IF([@حالة_السجل]="معكوسة",0,IF([@نوع_الحركة]="قبض",[@الإجمالي],0)))</f>
        <v/>
      </c>
      <c r="G3">
        <f>IF([@يؤثر_في_الرصيد]&lt;&gt;"نعم",0,IF([@حالة_السجل]="معكوسة",0,IF([@نوع_الحركة]="صرف",[@الإجمالي],IF([@نوع_الحركة]="عكس",[@الإجمالي],0))))</f>
        <v/>
      </c>
      <c r="K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">
        <f>[@قبل_الضريبة]+[@مبلغ_الضريبة]</f>
        <v/>
      </c>
      <c r="S3">
        <f>IF([@كود_التصنيف]="","",_xlfn._xlws.XLOOKUP([@كود_التصنيف],tblCat[كود_التصنيف],tblCat[نوع_تدفق],""))</f>
        <v/>
      </c>
      <c r="Y3">
        <f>IF([@كود_التصنيف]="","",[@كود_التصنيف]&amp;"|"&amp;[@نوع_الحركة]&amp;"|"&amp;[@كود_معالجة_ضريبية])</f>
        <v/>
      </c>
      <c r="Z3">
        <f>IF([@مفتاح_المقابل]="",0,COUNTIF(tblContra[مفتاح_الحساب_المقابل],[@مفتاح_المقابل]))</f>
        <v/>
      </c>
      <c r="AA3">
        <f>IF([@مفتاح_المقابل]="","",IF([@عدد_تطابقات]=0,"لا تطابق في دليل المقابل",IF([@عدد_تطابقات]&gt;1,"تطابق مكرر في الدليل","")))</f>
        <v/>
      </c>
      <c r="AB3">
        <f>IF([@عدد_تطابقات]&lt;&gt;1,"",_xlfn._xlws.XLOOKUP([@مفتاح_المقابل],tblContra[مفتاح_الحساب_المقابل],tblContra[كود_تحليلي],""))</f>
        <v/>
      </c>
      <c r="AC3">
        <f>IF(AND([@خطأ_المقابل]="",[@الحساب]&lt;&gt;"",[@كود_التصنيف]&lt;&gt;"",[@الإجمالي]&gt;0),"نعم","لا")</f>
        <v/>
      </c>
    </row>
    <row r="4">
      <c r="F4">
        <f>IF([@يؤثر_في_الرصيد]&lt;&gt;"نعم",0,IF([@حالة_السجل]="معكوسة",0,IF([@نوع_الحركة]="قبض",[@الإجمالي],0)))</f>
        <v/>
      </c>
      <c r="G4">
        <f>IF([@يؤثر_في_الرصيد]&lt;&gt;"نعم",0,IF([@حالة_السجل]="معكوسة",0,IF([@نوع_الحركة]="صرف",[@الإجمالي],IF([@نوع_الحركة]="عكس",[@الإجمالي],0))))</f>
        <v/>
      </c>
      <c r="K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">
        <f>[@قبل_الضريبة]+[@مبلغ_الضريبة]</f>
        <v/>
      </c>
      <c r="S4">
        <f>IF([@كود_التصنيف]="","",_xlfn._xlws.XLOOKUP([@كود_التصنيف],tblCat[كود_التصنيف],tblCat[نوع_تدفق],""))</f>
        <v/>
      </c>
      <c r="Y4">
        <f>IF([@كود_التصنيف]="","",[@كود_التصنيف]&amp;"|"&amp;[@نوع_الحركة]&amp;"|"&amp;[@كود_معالجة_ضريبية])</f>
        <v/>
      </c>
      <c r="Z4">
        <f>IF([@مفتاح_المقابل]="",0,COUNTIF(tblContra[مفتاح_الحساب_المقابل],[@مفتاح_المقابل]))</f>
        <v/>
      </c>
      <c r="AA4">
        <f>IF([@مفتاح_المقابل]="","",IF([@عدد_تطابقات]=0,"لا تطابق في دليل المقابل",IF([@عدد_تطابقات]&gt;1,"تطابق مكرر في الدليل","")))</f>
        <v/>
      </c>
      <c r="AB4">
        <f>IF([@عدد_تطابقات]&lt;&gt;1,"",_xlfn._xlws.XLOOKUP([@مفتاح_المقابل],tblContra[مفتاح_الحساب_المقابل],tblContra[كود_تحليلي],""))</f>
        <v/>
      </c>
      <c r="AC4">
        <f>IF(AND([@خطأ_المقابل]="",[@الحساب]&lt;&gt;"",[@كود_التصنيف]&lt;&gt;"",[@الإجمالي]&gt;0),"نعم","لا")</f>
        <v/>
      </c>
    </row>
    <row r="5">
      <c r="F5">
        <f>IF([@يؤثر_في_الرصيد]&lt;&gt;"نعم",0,IF([@حالة_السجل]="معكوسة",0,IF([@نوع_الحركة]="قبض",[@الإجمالي],0)))</f>
        <v/>
      </c>
      <c r="G5">
        <f>IF([@يؤثر_في_الرصيد]&lt;&gt;"نعم",0,IF([@حالة_السجل]="معكوسة",0,IF([@نوع_الحركة]="صرف",[@الإجمالي],IF([@نوع_الحركة]="عكس",[@الإجمالي],0))))</f>
        <v/>
      </c>
      <c r="K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">
        <f>[@قبل_الضريبة]+[@مبلغ_الضريبة]</f>
        <v/>
      </c>
      <c r="S5">
        <f>IF([@كود_التصنيف]="","",_xlfn._xlws.XLOOKUP([@كود_التصنيف],tblCat[كود_التصنيف],tblCat[نوع_تدفق],""))</f>
        <v/>
      </c>
      <c r="Y5">
        <f>IF([@كود_التصنيف]="","",[@كود_التصنيف]&amp;"|"&amp;[@نوع_الحركة]&amp;"|"&amp;[@كود_معالجة_ضريبية])</f>
        <v/>
      </c>
      <c r="Z5">
        <f>IF([@مفتاح_المقابل]="",0,COUNTIF(tblContra[مفتاح_الحساب_المقابل],[@مفتاح_المقابل]))</f>
        <v/>
      </c>
      <c r="AA5">
        <f>IF([@مفتاح_المقابل]="","",IF([@عدد_تطابقات]=0,"لا تطابق في دليل المقابل",IF([@عدد_تطابقات]&gt;1,"تطابق مكرر في الدليل","")))</f>
        <v/>
      </c>
      <c r="AB5">
        <f>IF([@عدد_تطابقات]&lt;&gt;1,"",_xlfn._xlws.XLOOKUP([@مفتاح_المقابل],tblContra[مفتاح_الحساب_المقابل],tblContra[كود_تحليلي],""))</f>
        <v/>
      </c>
      <c r="AC5">
        <f>IF(AND([@خطأ_المقابل]="",[@الحساب]&lt;&gt;"",[@كود_التصنيف]&lt;&gt;"",[@الإجمالي]&gt;0),"نعم","لا")</f>
        <v/>
      </c>
    </row>
    <row r="6">
      <c r="F6">
        <f>IF([@يؤثر_في_الرصيد]&lt;&gt;"نعم",0,IF([@حالة_السجل]="معكوسة",0,IF([@نوع_الحركة]="قبض",[@الإجمالي],0)))</f>
        <v/>
      </c>
      <c r="G6">
        <f>IF([@يؤثر_في_الرصيد]&lt;&gt;"نعم",0,IF([@حالة_السجل]="معكوسة",0,IF([@نوع_الحركة]="صرف",[@الإجمالي],IF([@نوع_الحركة]="عكس",[@الإجمالي],0))))</f>
        <v/>
      </c>
      <c r="K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">
        <f>[@قبل_الضريبة]+[@مبلغ_الضريبة]</f>
        <v/>
      </c>
      <c r="S6">
        <f>IF([@كود_التصنيف]="","",_xlfn._xlws.XLOOKUP([@كود_التصنيف],tblCat[كود_التصنيف],tblCat[نوع_تدفق],""))</f>
        <v/>
      </c>
      <c r="Y6">
        <f>IF([@كود_التصنيف]="","",[@كود_التصنيف]&amp;"|"&amp;[@نوع_الحركة]&amp;"|"&amp;[@كود_معالجة_ضريبية])</f>
        <v/>
      </c>
      <c r="Z6">
        <f>IF([@مفتاح_المقابل]="",0,COUNTIF(tblContra[مفتاح_الحساب_المقابل],[@مفتاح_المقابل]))</f>
        <v/>
      </c>
      <c r="AA6">
        <f>IF([@مفتاح_المقابل]="","",IF([@عدد_تطابقات]=0,"لا تطابق في دليل المقابل",IF([@عدد_تطابقات]&gt;1,"تطابق مكرر في الدليل","")))</f>
        <v/>
      </c>
      <c r="AB6">
        <f>IF([@عدد_تطابقات]&lt;&gt;1,"",_xlfn._xlws.XLOOKUP([@مفتاح_المقابل],tblContra[مفتاح_الحساب_المقابل],tblContra[كود_تحليلي],""))</f>
        <v/>
      </c>
      <c r="AC6">
        <f>IF(AND([@خطأ_المقابل]="",[@الحساب]&lt;&gt;"",[@كود_التصنيف]&lt;&gt;"",[@الإجمالي]&gt;0),"نعم","لا")</f>
        <v/>
      </c>
    </row>
    <row r="7">
      <c r="F7">
        <f>IF([@يؤثر_في_الرصيد]&lt;&gt;"نعم",0,IF([@حالة_السجل]="معكوسة",0,IF([@نوع_الحركة]="قبض",[@الإجمالي],0)))</f>
        <v/>
      </c>
      <c r="G7">
        <f>IF([@يؤثر_في_الرصيد]&lt;&gt;"نعم",0,IF([@حالة_السجل]="معكوسة",0,IF([@نوع_الحركة]="صرف",[@الإجمالي],IF([@نوع_الحركة]="عكس",[@الإجمالي],0))))</f>
        <v/>
      </c>
      <c r="K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">
        <f>[@قبل_الضريبة]+[@مبلغ_الضريبة]</f>
        <v/>
      </c>
      <c r="S7">
        <f>IF([@كود_التصنيف]="","",_xlfn._xlws.XLOOKUP([@كود_التصنيف],tblCat[كود_التصنيف],tblCat[نوع_تدفق],""))</f>
        <v/>
      </c>
      <c r="Y7">
        <f>IF([@كود_التصنيف]="","",[@كود_التصنيف]&amp;"|"&amp;[@نوع_الحركة]&amp;"|"&amp;[@كود_معالجة_ضريبية])</f>
        <v/>
      </c>
      <c r="Z7">
        <f>IF([@مفتاح_المقابل]="",0,COUNTIF(tblContra[مفتاح_الحساب_المقابل],[@مفتاح_المقابل]))</f>
        <v/>
      </c>
      <c r="AA7">
        <f>IF([@مفتاح_المقابل]="","",IF([@عدد_تطابقات]=0,"لا تطابق في دليل المقابل",IF([@عدد_تطابقات]&gt;1,"تطابق مكرر في الدليل","")))</f>
        <v/>
      </c>
      <c r="AB7">
        <f>IF([@عدد_تطابقات]&lt;&gt;1,"",_xlfn._xlws.XLOOKUP([@مفتاح_المقابل],tblContra[مفتاح_الحساب_المقابل],tblContra[كود_تحليلي],""))</f>
        <v/>
      </c>
      <c r="AC7">
        <f>IF(AND([@خطأ_المقابل]="",[@الحساب]&lt;&gt;"",[@كود_التصنيف]&lt;&gt;"",[@الإجمالي]&gt;0),"نعم","لا")</f>
        <v/>
      </c>
    </row>
    <row r="8">
      <c r="F8">
        <f>IF([@يؤثر_في_الرصيد]&lt;&gt;"نعم",0,IF([@حالة_السجل]="معكوسة",0,IF([@نوع_الحركة]="قبض",[@الإجمالي],0)))</f>
        <v/>
      </c>
      <c r="G8">
        <f>IF([@يؤثر_في_الرصيد]&lt;&gt;"نعم",0,IF([@حالة_السجل]="معكوسة",0,IF([@نوع_الحركة]="صرف",[@الإجمالي],IF([@نوع_الحركة]="عكس",[@الإجمالي],0))))</f>
        <v/>
      </c>
      <c r="K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">
        <f>[@قبل_الضريبة]+[@مبلغ_الضريبة]</f>
        <v/>
      </c>
      <c r="S8">
        <f>IF([@كود_التصنيف]="","",_xlfn._xlws.XLOOKUP([@كود_التصنيف],tblCat[كود_التصنيف],tblCat[نوع_تدفق],""))</f>
        <v/>
      </c>
      <c r="Y8">
        <f>IF([@كود_التصنيف]="","",[@كود_التصنيف]&amp;"|"&amp;[@نوع_الحركة]&amp;"|"&amp;[@كود_معالجة_ضريبية])</f>
        <v/>
      </c>
      <c r="Z8">
        <f>IF([@مفتاح_المقابل]="",0,COUNTIF(tblContra[مفتاح_الحساب_المقابل],[@مفتاح_المقابل]))</f>
        <v/>
      </c>
      <c r="AA8">
        <f>IF([@مفتاح_المقابل]="","",IF([@عدد_تطابقات]=0,"لا تطابق في دليل المقابل",IF([@عدد_تطابقات]&gt;1,"تطابق مكرر في الدليل","")))</f>
        <v/>
      </c>
      <c r="AB8">
        <f>IF([@عدد_تطابقات]&lt;&gt;1,"",_xlfn._xlws.XLOOKUP([@مفتاح_المقابل],tblContra[مفتاح_الحساب_المقابل],tblContra[كود_تحليلي],""))</f>
        <v/>
      </c>
      <c r="AC8">
        <f>IF(AND([@خطأ_المقابل]="",[@الحساب]&lt;&gt;"",[@كود_التصنيف]&lt;&gt;"",[@الإجمالي]&gt;0),"نعم","لا")</f>
        <v/>
      </c>
    </row>
    <row r="9">
      <c r="F9">
        <f>IF([@يؤثر_في_الرصيد]&lt;&gt;"نعم",0,IF([@حالة_السجل]="معكوسة",0,IF([@نوع_الحركة]="قبض",[@الإجمالي],0)))</f>
        <v/>
      </c>
      <c r="G9">
        <f>IF([@يؤثر_في_الرصيد]&lt;&gt;"نعم",0,IF([@حالة_السجل]="معكوسة",0,IF([@نوع_الحركة]="صرف",[@الإجمالي],IF([@نوع_الحركة]="عكس",[@الإجمالي],0))))</f>
        <v/>
      </c>
      <c r="K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">
        <f>[@قبل_الضريبة]+[@مبلغ_الضريبة]</f>
        <v/>
      </c>
      <c r="S9">
        <f>IF([@كود_التصنيف]="","",_xlfn._xlws.XLOOKUP([@كود_التصنيف],tblCat[كود_التصنيف],tblCat[نوع_تدفق],""))</f>
        <v/>
      </c>
      <c r="Y9">
        <f>IF([@كود_التصنيف]="","",[@كود_التصنيف]&amp;"|"&amp;[@نوع_الحركة]&amp;"|"&amp;[@كود_معالجة_ضريبية])</f>
        <v/>
      </c>
      <c r="Z9">
        <f>IF([@مفتاح_المقابل]="",0,COUNTIF(tblContra[مفتاح_الحساب_المقابل],[@مفتاح_المقابل]))</f>
        <v/>
      </c>
      <c r="AA9">
        <f>IF([@مفتاح_المقابل]="","",IF([@عدد_تطابقات]=0,"لا تطابق في دليل المقابل",IF([@عدد_تطابقات]&gt;1,"تطابق مكرر في الدليل","")))</f>
        <v/>
      </c>
      <c r="AB9">
        <f>IF([@عدد_تطابقات]&lt;&gt;1,"",_xlfn._xlws.XLOOKUP([@مفتاح_المقابل],tblContra[مفتاح_الحساب_المقابل],tblContra[كود_تحليلي],""))</f>
        <v/>
      </c>
      <c r="AC9">
        <f>IF(AND([@خطأ_المقابل]="",[@الحساب]&lt;&gt;"",[@كود_التصنيف]&lt;&gt;"",[@الإجمالي]&gt;0),"نعم","لا")</f>
        <v/>
      </c>
    </row>
    <row r="10">
      <c r="F10">
        <f>IF([@يؤثر_في_الرصيد]&lt;&gt;"نعم",0,IF([@حالة_السجل]="معكوسة",0,IF([@نوع_الحركة]="قبض",[@الإجمالي],0)))</f>
        <v/>
      </c>
      <c r="G10">
        <f>IF([@يؤثر_في_الرصيد]&lt;&gt;"نعم",0,IF([@حالة_السجل]="معكوسة",0,IF([@نوع_الحركة]="صرف",[@الإجمالي],IF([@نوع_الحركة]="عكس",[@الإجمالي],0))))</f>
        <v/>
      </c>
      <c r="K1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">
        <f>[@قبل_الضريبة]+[@مبلغ_الضريبة]</f>
        <v/>
      </c>
      <c r="S10">
        <f>IF([@كود_التصنيف]="","",_xlfn._xlws.XLOOKUP([@كود_التصنيف],tblCat[كود_التصنيف],tblCat[نوع_تدفق],""))</f>
        <v/>
      </c>
      <c r="Y10">
        <f>IF([@كود_التصنيف]="","",[@كود_التصنيف]&amp;"|"&amp;[@نوع_الحركة]&amp;"|"&amp;[@كود_معالجة_ضريبية])</f>
        <v/>
      </c>
      <c r="Z10">
        <f>IF([@مفتاح_المقابل]="",0,COUNTIF(tblContra[مفتاح_الحساب_المقابل],[@مفتاح_المقابل]))</f>
        <v/>
      </c>
      <c r="AA10">
        <f>IF([@مفتاح_المقابل]="","",IF([@عدد_تطابقات]=0,"لا تطابق في دليل المقابل",IF([@عدد_تطابقات]&gt;1,"تطابق مكرر في الدليل","")))</f>
        <v/>
      </c>
      <c r="AB10">
        <f>IF([@عدد_تطابقات]&lt;&gt;1,"",_xlfn._xlws.XLOOKUP([@مفتاح_المقابل],tblContra[مفتاح_الحساب_المقابل],tblContra[كود_تحليلي],""))</f>
        <v/>
      </c>
      <c r="AC10">
        <f>IF(AND([@خطأ_المقابل]="",[@الحساب]&lt;&gt;"",[@كود_التصنيف]&lt;&gt;"",[@الإجمالي]&gt;0),"نعم","لا")</f>
        <v/>
      </c>
    </row>
    <row r="11">
      <c r="F11">
        <f>IF([@يؤثر_في_الرصيد]&lt;&gt;"نعم",0,IF([@حالة_السجل]="معكوسة",0,IF([@نوع_الحركة]="قبض",[@الإجمالي],0)))</f>
        <v/>
      </c>
      <c r="G11">
        <f>IF([@يؤثر_في_الرصيد]&lt;&gt;"نعم",0,IF([@حالة_السجل]="معكوسة",0,IF([@نوع_الحركة]="صرف",[@الإجمالي],IF([@نوع_الحركة]="عكس",[@الإجمالي],0))))</f>
        <v/>
      </c>
      <c r="K1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">
        <f>[@قبل_الضريبة]+[@مبلغ_الضريبة]</f>
        <v/>
      </c>
      <c r="S11">
        <f>IF([@كود_التصنيف]="","",_xlfn._xlws.XLOOKUP([@كود_التصنيف],tblCat[كود_التصنيف],tblCat[نوع_تدفق],""))</f>
        <v/>
      </c>
      <c r="Y11">
        <f>IF([@كود_التصنيف]="","",[@كود_التصنيف]&amp;"|"&amp;[@نوع_الحركة]&amp;"|"&amp;[@كود_معالجة_ضريبية])</f>
        <v/>
      </c>
      <c r="Z11">
        <f>IF([@مفتاح_المقابل]="",0,COUNTIF(tblContra[مفتاح_الحساب_المقابل],[@مفتاح_المقابل]))</f>
        <v/>
      </c>
      <c r="AA11">
        <f>IF([@مفتاح_المقابل]="","",IF([@عدد_تطابقات]=0,"لا تطابق في دليل المقابل",IF([@عدد_تطابقات]&gt;1,"تطابق مكرر في الدليل","")))</f>
        <v/>
      </c>
      <c r="AB11">
        <f>IF([@عدد_تطابقات]&lt;&gt;1,"",_xlfn._xlws.XLOOKUP([@مفتاح_المقابل],tblContra[مفتاح_الحساب_المقابل],tblContra[كود_تحليلي],""))</f>
        <v/>
      </c>
      <c r="AC11">
        <f>IF(AND([@خطأ_المقابل]="",[@الحساب]&lt;&gt;"",[@كود_التصنيف]&lt;&gt;"",[@الإجمالي]&gt;0),"نعم","لا")</f>
        <v/>
      </c>
    </row>
    <row r="12">
      <c r="F12">
        <f>IF([@يؤثر_في_الرصيد]&lt;&gt;"نعم",0,IF([@حالة_السجل]="معكوسة",0,IF([@نوع_الحركة]="قبض",[@الإجمالي],0)))</f>
        <v/>
      </c>
      <c r="G12">
        <f>IF([@يؤثر_في_الرصيد]&lt;&gt;"نعم",0,IF([@حالة_السجل]="معكوسة",0,IF([@نوع_الحركة]="صرف",[@الإجمالي],IF([@نوع_الحركة]="عكس",[@الإجمالي],0))))</f>
        <v/>
      </c>
      <c r="K1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">
        <f>[@قبل_الضريبة]+[@مبلغ_الضريبة]</f>
        <v/>
      </c>
      <c r="S12">
        <f>IF([@كود_التصنيف]="","",_xlfn._xlws.XLOOKUP([@كود_التصنيف],tblCat[كود_التصنيف],tblCat[نوع_تدفق],""))</f>
        <v/>
      </c>
      <c r="Y12">
        <f>IF([@كود_التصنيف]="","",[@كود_التصنيف]&amp;"|"&amp;[@نوع_الحركة]&amp;"|"&amp;[@كود_معالجة_ضريبية])</f>
        <v/>
      </c>
      <c r="Z12">
        <f>IF([@مفتاح_المقابل]="",0,COUNTIF(tblContra[مفتاح_الحساب_المقابل],[@مفتاح_المقابل]))</f>
        <v/>
      </c>
      <c r="AA12">
        <f>IF([@مفتاح_المقابل]="","",IF([@عدد_تطابقات]=0,"لا تطابق في دليل المقابل",IF([@عدد_تطابقات]&gt;1,"تطابق مكرر في الدليل","")))</f>
        <v/>
      </c>
      <c r="AB12">
        <f>IF([@عدد_تطابقات]&lt;&gt;1,"",_xlfn._xlws.XLOOKUP([@مفتاح_المقابل],tblContra[مفتاح_الحساب_المقابل],tblContra[كود_تحليلي],""))</f>
        <v/>
      </c>
      <c r="AC12">
        <f>IF(AND([@خطأ_المقابل]="",[@الحساب]&lt;&gt;"",[@كود_التصنيف]&lt;&gt;"",[@الإجمالي]&gt;0),"نعم","لا")</f>
        <v/>
      </c>
    </row>
    <row r="13">
      <c r="F13">
        <f>IF([@يؤثر_في_الرصيد]&lt;&gt;"نعم",0,IF([@حالة_السجل]="معكوسة",0,IF([@نوع_الحركة]="قبض",[@الإجمالي],0)))</f>
        <v/>
      </c>
      <c r="G13">
        <f>IF([@يؤثر_في_الرصيد]&lt;&gt;"نعم",0,IF([@حالة_السجل]="معكوسة",0,IF([@نوع_الحركة]="صرف",[@الإجمالي],IF([@نوع_الحركة]="عكس",[@الإجمالي],0))))</f>
        <v/>
      </c>
      <c r="K1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">
        <f>[@قبل_الضريبة]+[@مبلغ_الضريبة]</f>
        <v/>
      </c>
      <c r="S13">
        <f>IF([@كود_التصنيف]="","",_xlfn._xlws.XLOOKUP([@كود_التصنيف],tblCat[كود_التصنيف],tblCat[نوع_تدفق],""))</f>
        <v/>
      </c>
      <c r="Y13">
        <f>IF([@كود_التصنيف]="","",[@كود_التصنيف]&amp;"|"&amp;[@نوع_الحركة]&amp;"|"&amp;[@كود_معالجة_ضريبية])</f>
        <v/>
      </c>
      <c r="Z13">
        <f>IF([@مفتاح_المقابل]="",0,COUNTIF(tblContra[مفتاح_الحساب_المقابل],[@مفتاح_المقابل]))</f>
        <v/>
      </c>
      <c r="AA13">
        <f>IF([@مفتاح_المقابل]="","",IF([@عدد_تطابقات]=0,"لا تطابق في دليل المقابل",IF([@عدد_تطابقات]&gt;1,"تطابق مكرر في الدليل","")))</f>
        <v/>
      </c>
      <c r="AB13">
        <f>IF([@عدد_تطابقات]&lt;&gt;1,"",_xlfn._xlws.XLOOKUP([@مفتاح_المقابل],tblContra[مفتاح_الحساب_المقابل],tblContra[كود_تحليلي],""))</f>
        <v/>
      </c>
      <c r="AC13">
        <f>IF(AND([@خطأ_المقابل]="",[@الحساب]&lt;&gt;"",[@كود_التصنيف]&lt;&gt;"",[@الإجمالي]&gt;0),"نعم","لا")</f>
        <v/>
      </c>
    </row>
    <row r="14">
      <c r="F14">
        <f>IF([@يؤثر_في_الرصيد]&lt;&gt;"نعم",0,IF([@حالة_السجل]="معكوسة",0,IF([@نوع_الحركة]="قبض",[@الإجمالي],0)))</f>
        <v/>
      </c>
      <c r="G14">
        <f>IF([@يؤثر_في_الرصيد]&lt;&gt;"نعم",0,IF([@حالة_السجل]="معكوسة",0,IF([@نوع_الحركة]="صرف",[@الإجمالي],IF([@نوع_الحركة]="عكس",[@الإجمالي],0))))</f>
        <v/>
      </c>
      <c r="K1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">
        <f>[@قبل_الضريبة]+[@مبلغ_الضريبة]</f>
        <v/>
      </c>
      <c r="S14">
        <f>IF([@كود_التصنيف]="","",_xlfn._xlws.XLOOKUP([@كود_التصنيف],tblCat[كود_التصنيف],tblCat[نوع_تدفق],""))</f>
        <v/>
      </c>
      <c r="Y14">
        <f>IF([@كود_التصنيف]="","",[@كود_التصنيف]&amp;"|"&amp;[@نوع_الحركة]&amp;"|"&amp;[@كود_معالجة_ضريبية])</f>
        <v/>
      </c>
      <c r="Z14">
        <f>IF([@مفتاح_المقابل]="",0,COUNTIF(tblContra[مفتاح_الحساب_المقابل],[@مفتاح_المقابل]))</f>
        <v/>
      </c>
      <c r="AA14">
        <f>IF([@مفتاح_المقابل]="","",IF([@عدد_تطابقات]=0,"لا تطابق في دليل المقابل",IF([@عدد_تطابقات]&gt;1,"تطابق مكرر في الدليل","")))</f>
        <v/>
      </c>
      <c r="AB14">
        <f>IF([@عدد_تطابقات]&lt;&gt;1,"",_xlfn._xlws.XLOOKUP([@مفتاح_المقابل],tblContra[مفتاح_الحساب_المقابل],tblContra[كود_تحليلي],""))</f>
        <v/>
      </c>
      <c r="AC14">
        <f>IF(AND([@خطأ_المقابل]="",[@الحساب]&lt;&gt;"",[@كود_التصنيف]&lt;&gt;"",[@الإجمالي]&gt;0),"نعم","لا")</f>
        <v/>
      </c>
    </row>
    <row r="15">
      <c r="F15">
        <f>IF([@يؤثر_في_الرصيد]&lt;&gt;"نعم",0,IF([@حالة_السجل]="معكوسة",0,IF([@نوع_الحركة]="قبض",[@الإجمالي],0)))</f>
        <v/>
      </c>
      <c r="G15">
        <f>IF([@يؤثر_في_الرصيد]&lt;&gt;"نعم",0,IF([@حالة_السجل]="معكوسة",0,IF([@نوع_الحركة]="صرف",[@الإجمالي],IF([@نوع_الحركة]="عكس",[@الإجمالي],0))))</f>
        <v/>
      </c>
      <c r="K1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5">
        <f>[@قبل_الضريبة]+[@مبلغ_الضريبة]</f>
        <v/>
      </c>
      <c r="S15">
        <f>IF([@كود_التصنيف]="","",_xlfn._xlws.XLOOKUP([@كود_التصنيف],tblCat[كود_التصنيف],tblCat[نوع_تدفق],""))</f>
        <v/>
      </c>
      <c r="Y15">
        <f>IF([@كود_التصنيف]="","",[@كود_التصنيف]&amp;"|"&amp;[@نوع_الحركة]&amp;"|"&amp;[@كود_معالجة_ضريبية])</f>
        <v/>
      </c>
      <c r="Z15">
        <f>IF([@مفتاح_المقابل]="",0,COUNTIF(tblContra[مفتاح_الحساب_المقابل],[@مفتاح_المقابل]))</f>
        <v/>
      </c>
      <c r="AA15">
        <f>IF([@مفتاح_المقابل]="","",IF([@عدد_تطابقات]=0,"لا تطابق في دليل المقابل",IF([@عدد_تطابقات]&gt;1,"تطابق مكرر في الدليل","")))</f>
        <v/>
      </c>
      <c r="AB15">
        <f>IF([@عدد_تطابقات]&lt;&gt;1,"",_xlfn._xlws.XLOOKUP([@مفتاح_المقابل],tblContra[مفتاح_الحساب_المقابل],tblContra[كود_تحليلي],""))</f>
        <v/>
      </c>
      <c r="AC15">
        <f>IF(AND([@خطأ_المقابل]="",[@الحساب]&lt;&gt;"",[@كود_التصنيف]&lt;&gt;"",[@الإجمالي]&gt;0),"نعم","لا")</f>
        <v/>
      </c>
    </row>
    <row r="16">
      <c r="F16">
        <f>IF([@يؤثر_في_الرصيد]&lt;&gt;"نعم",0,IF([@حالة_السجل]="معكوسة",0,IF([@نوع_الحركة]="قبض",[@الإجمالي],0)))</f>
        <v/>
      </c>
      <c r="G16">
        <f>IF([@يؤثر_في_الرصيد]&lt;&gt;"نعم",0,IF([@حالة_السجل]="معكوسة",0,IF([@نوع_الحركة]="صرف",[@الإجمالي],IF([@نوع_الحركة]="عكس",[@الإجمالي],0))))</f>
        <v/>
      </c>
      <c r="K1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6">
        <f>[@قبل_الضريبة]+[@مبلغ_الضريبة]</f>
        <v/>
      </c>
      <c r="S16">
        <f>IF([@كود_التصنيف]="","",_xlfn._xlws.XLOOKUP([@كود_التصنيف],tblCat[كود_التصنيف],tblCat[نوع_تدفق],""))</f>
        <v/>
      </c>
      <c r="Y16">
        <f>IF([@كود_التصنيف]="","",[@كود_التصنيف]&amp;"|"&amp;[@نوع_الحركة]&amp;"|"&amp;[@كود_معالجة_ضريبية])</f>
        <v/>
      </c>
      <c r="Z16">
        <f>IF([@مفتاح_المقابل]="",0,COUNTIF(tblContra[مفتاح_الحساب_المقابل],[@مفتاح_المقابل]))</f>
        <v/>
      </c>
      <c r="AA16">
        <f>IF([@مفتاح_المقابل]="","",IF([@عدد_تطابقات]=0,"لا تطابق في دليل المقابل",IF([@عدد_تطابقات]&gt;1,"تطابق مكرر في الدليل","")))</f>
        <v/>
      </c>
      <c r="AB16">
        <f>IF([@عدد_تطابقات]&lt;&gt;1,"",_xlfn._xlws.XLOOKUP([@مفتاح_المقابل],tblContra[مفتاح_الحساب_المقابل],tblContra[كود_تحليلي],""))</f>
        <v/>
      </c>
      <c r="AC16">
        <f>IF(AND([@خطأ_المقابل]="",[@الحساب]&lt;&gt;"",[@كود_التصنيف]&lt;&gt;"",[@الإجمالي]&gt;0),"نعم","لا")</f>
        <v/>
      </c>
    </row>
    <row r="17">
      <c r="F17">
        <f>IF([@يؤثر_في_الرصيد]&lt;&gt;"نعم",0,IF([@حالة_السجل]="معكوسة",0,IF([@نوع_الحركة]="قبض",[@الإجمالي],0)))</f>
        <v/>
      </c>
      <c r="G17">
        <f>IF([@يؤثر_في_الرصيد]&lt;&gt;"نعم",0,IF([@حالة_السجل]="معكوسة",0,IF([@نوع_الحركة]="صرف",[@الإجمالي],IF([@نوع_الحركة]="عكس",[@الإجمالي],0))))</f>
        <v/>
      </c>
      <c r="K1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7">
        <f>[@قبل_الضريبة]+[@مبلغ_الضريبة]</f>
        <v/>
      </c>
      <c r="S17">
        <f>IF([@كود_التصنيف]="","",_xlfn._xlws.XLOOKUP([@كود_التصنيف],tblCat[كود_التصنيف],tblCat[نوع_تدفق],""))</f>
        <v/>
      </c>
      <c r="Y17">
        <f>IF([@كود_التصنيف]="","",[@كود_التصنيف]&amp;"|"&amp;[@نوع_الحركة]&amp;"|"&amp;[@كود_معالجة_ضريبية])</f>
        <v/>
      </c>
      <c r="Z17">
        <f>IF([@مفتاح_المقابل]="",0,COUNTIF(tblContra[مفتاح_الحساب_المقابل],[@مفتاح_المقابل]))</f>
        <v/>
      </c>
      <c r="AA17">
        <f>IF([@مفتاح_المقابل]="","",IF([@عدد_تطابقات]=0,"لا تطابق في دليل المقابل",IF([@عدد_تطابقات]&gt;1,"تطابق مكرر في الدليل","")))</f>
        <v/>
      </c>
      <c r="AB17">
        <f>IF([@عدد_تطابقات]&lt;&gt;1,"",_xlfn._xlws.XLOOKUP([@مفتاح_المقابل],tblContra[مفتاح_الحساب_المقابل],tblContra[كود_تحليلي],""))</f>
        <v/>
      </c>
      <c r="AC17">
        <f>IF(AND([@خطأ_المقابل]="",[@الحساب]&lt;&gt;"",[@كود_التصنيف]&lt;&gt;"",[@الإجمالي]&gt;0),"نعم","لا")</f>
        <v/>
      </c>
    </row>
    <row r="18">
      <c r="F18">
        <f>IF([@يؤثر_في_الرصيد]&lt;&gt;"نعم",0,IF([@حالة_السجل]="معكوسة",0,IF([@نوع_الحركة]="قبض",[@الإجمالي],0)))</f>
        <v/>
      </c>
      <c r="G18">
        <f>IF([@يؤثر_في_الرصيد]&lt;&gt;"نعم",0,IF([@حالة_السجل]="معكوسة",0,IF([@نوع_الحركة]="صرف",[@الإجمالي],IF([@نوع_الحركة]="عكس",[@الإجمالي],0))))</f>
        <v/>
      </c>
      <c r="K1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8">
        <f>[@قبل_الضريبة]+[@مبلغ_الضريبة]</f>
        <v/>
      </c>
      <c r="S18">
        <f>IF([@كود_التصنيف]="","",_xlfn._xlws.XLOOKUP([@كود_التصنيف],tblCat[كود_التصنيف],tblCat[نوع_تدفق],""))</f>
        <v/>
      </c>
      <c r="Y18">
        <f>IF([@كود_التصنيف]="","",[@كود_التصنيف]&amp;"|"&amp;[@نوع_الحركة]&amp;"|"&amp;[@كود_معالجة_ضريبية])</f>
        <v/>
      </c>
      <c r="Z18">
        <f>IF([@مفتاح_المقابل]="",0,COUNTIF(tblContra[مفتاح_الحساب_المقابل],[@مفتاح_المقابل]))</f>
        <v/>
      </c>
      <c r="AA18">
        <f>IF([@مفتاح_المقابل]="","",IF([@عدد_تطابقات]=0,"لا تطابق في دليل المقابل",IF([@عدد_تطابقات]&gt;1,"تطابق مكرر في الدليل","")))</f>
        <v/>
      </c>
      <c r="AB18">
        <f>IF([@عدد_تطابقات]&lt;&gt;1,"",_xlfn._xlws.XLOOKUP([@مفتاح_المقابل],tblContra[مفتاح_الحساب_المقابل],tblContra[كود_تحليلي],""))</f>
        <v/>
      </c>
      <c r="AC18">
        <f>IF(AND([@خطأ_المقابل]="",[@الحساب]&lt;&gt;"",[@كود_التصنيف]&lt;&gt;"",[@الإجمالي]&gt;0),"نعم","لا")</f>
        <v/>
      </c>
    </row>
    <row r="19">
      <c r="F19">
        <f>IF([@يؤثر_في_الرصيد]&lt;&gt;"نعم",0,IF([@حالة_السجل]="معكوسة",0,IF([@نوع_الحركة]="قبض",[@الإجمالي],0)))</f>
        <v/>
      </c>
      <c r="G19">
        <f>IF([@يؤثر_في_الرصيد]&lt;&gt;"نعم",0,IF([@حالة_السجل]="معكوسة",0,IF([@نوع_الحركة]="صرف",[@الإجمالي],IF([@نوع_الحركة]="عكس",[@الإجمالي],0))))</f>
        <v/>
      </c>
      <c r="K1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9">
        <f>[@قبل_الضريبة]+[@مبلغ_الضريبة]</f>
        <v/>
      </c>
      <c r="S19">
        <f>IF([@كود_التصنيف]="","",_xlfn._xlws.XLOOKUP([@كود_التصنيف],tblCat[كود_التصنيف],tblCat[نوع_تدفق],""))</f>
        <v/>
      </c>
      <c r="Y19">
        <f>IF([@كود_التصنيف]="","",[@كود_التصنيف]&amp;"|"&amp;[@نوع_الحركة]&amp;"|"&amp;[@كود_معالجة_ضريبية])</f>
        <v/>
      </c>
      <c r="Z19">
        <f>IF([@مفتاح_المقابل]="",0,COUNTIF(tblContra[مفتاح_الحساب_المقابل],[@مفتاح_المقابل]))</f>
        <v/>
      </c>
      <c r="AA19">
        <f>IF([@مفتاح_المقابل]="","",IF([@عدد_تطابقات]=0,"لا تطابق في دليل المقابل",IF([@عدد_تطابقات]&gt;1,"تطابق مكرر في الدليل","")))</f>
        <v/>
      </c>
      <c r="AB19">
        <f>IF([@عدد_تطابقات]&lt;&gt;1,"",_xlfn._xlws.XLOOKUP([@مفتاح_المقابل],tblContra[مفتاح_الحساب_المقابل],tblContra[كود_تحليلي],""))</f>
        <v/>
      </c>
      <c r="AC19">
        <f>IF(AND([@خطأ_المقابل]="",[@الحساب]&lt;&gt;"",[@كود_التصنيف]&lt;&gt;"",[@الإجمالي]&gt;0),"نعم","لا")</f>
        <v/>
      </c>
    </row>
    <row r="20">
      <c r="F20">
        <f>IF([@يؤثر_في_الرصيد]&lt;&gt;"نعم",0,IF([@حالة_السجل]="معكوسة",0,IF([@نوع_الحركة]="قبض",[@الإجمالي],0)))</f>
        <v/>
      </c>
      <c r="G20">
        <f>IF([@يؤثر_في_الرصيد]&lt;&gt;"نعم",0,IF([@حالة_السجل]="معكوسة",0,IF([@نوع_الحركة]="صرف",[@الإجمالي],IF([@نوع_الحركة]="عكس",[@الإجمالي],0))))</f>
        <v/>
      </c>
      <c r="K2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0">
        <f>[@قبل_الضريبة]+[@مبلغ_الضريبة]</f>
        <v/>
      </c>
      <c r="S20">
        <f>IF([@كود_التصنيف]="","",_xlfn._xlws.XLOOKUP([@كود_التصنيف],tblCat[كود_التصنيف],tblCat[نوع_تدفق],""))</f>
        <v/>
      </c>
      <c r="Y20">
        <f>IF([@كود_التصنيف]="","",[@كود_التصنيف]&amp;"|"&amp;[@نوع_الحركة]&amp;"|"&amp;[@كود_معالجة_ضريبية])</f>
        <v/>
      </c>
      <c r="Z20">
        <f>IF([@مفتاح_المقابل]="",0,COUNTIF(tblContra[مفتاح_الحساب_المقابل],[@مفتاح_المقابل]))</f>
        <v/>
      </c>
      <c r="AA20">
        <f>IF([@مفتاح_المقابل]="","",IF([@عدد_تطابقات]=0,"لا تطابق في دليل المقابل",IF([@عدد_تطابقات]&gt;1,"تطابق مكرر في الدليل","")))</f>
        <v/>
      </c>
      <c r="AB20">
        <f>IF([@عدد_تطابقات]&lt;&gt;1,"",_xlfn._xlws.XLOOKUP([@مفتاح_المقابل],tblContra[مفتاح_الحساب_المقابل],tblContra[كود_تحليلي],""))</f>
        <v/>
      </c>
      <c r="AC20">
        <f>IF(AND([@خطأ_المقابل]="",[@الحساب]&lt;&gt;"",[@كود_التصنيف]&lt;&gt;"",[@الإجمالي]&gt;0),"نعم","لا")</f>
        <v/>
      </c>
    </row>
    <row r="21">
      <c r="F21">
        <f>IF([@يؤثر_في_الرصيد]&lt;&gt;"نعم",0,IF([@حالة_السجل]="معكوسة",0,IF([@نوع_الحركة]="قبض",[@الإجمالي],0)))</f>
        <v/>
      </c>
      <c r="G21">
        <f>IF([@يؤثر_في_الرصيد]&lt;&gt;"نعم",0,IF([@حالة_السجل]="معكوسة",0,IF([@نوع_الحركة]="صرف",[@الإجمالي],IF([@نوع_الحركة]="عكس",[@الإجمالي],0))))</f>
        <v/>
      </c>
      <c r="K2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1">
        <f>[@قبل_الضريبة]+[@مبلغ_الضريبة]</f>
        <v/>
      </c>
      <c r="S21">
        <f>IF([@كود_التصنيف]="","",_xlfn._xlws.XLOOKUP([@كود_التصنيف],tblCat[كود_التصنيف],tblCat[نوع_تدفق],""))</f>
        <v/>
      </c>
      <c r="Y21">
        <f>IF([@كود_التصنيف]="","",[@كود_التصنيف]&amp;"|"&amp;[@نوع_الحركة]&amp;"|"&amp;[@كود_معالجة_ضريبية])</f>
        <v/>
      </c>
      <c r="Z21">
        <f>IF([@مفتاح_المقابل]="",0,COUNTIF(tblContra[مفتاح_الحساب_المقابل],[@مفتاح_المقابل]))</f>
        <v/>
      </c>
      <c r="AA21">
        <f>IF([@مفتاح_المقابل]="","",IF([@عدد_تطابقات]=0,"لا تطابق في دليل المقابل",IF([@عدد_تطابقات]&gt;1,"تطابق مكرر في الدليل","")))</f>
        <v/>
      </c>
      <c r="AB21">
        <f>IF([@عدد_تطابقات]&lt;&gt;1,"",_xlfn._xlws.XLOOKUP([@مفتاح_المقابل],tblContra[مفتاح_الحساب_المقابل],tblContra[كود_تحليلي],""))</f>
        <v/>
      </c>
      <c r="AC21">
        <f>IF(AND([@خطأ_المقابل]="",[@الحساب]&lt;&gt;"",[@كود_التصنيف]&lt;&gt;"",[@الإجمالي]&gt;0),"نعم","لا")</f>
        <v/>
      </c>
    </row>
    <row r="22">
      <c r="F22">
        <f>IF([@يؤثر_في_الرصيد]&lt;&gt;"نعم",0,IF([@حالة_السجل]="معكوسة",0,IF([@نوع_الحركة]="قبض",[@الإجمالي],0)))</f>
        <v/>
      </c>
      <c r="G22">
        <f>IF([@يؤثر_في_الرصيد]&lt;&gt;"نعم",0,IF([@حالة_السجل]="معكوسة",0,IF([@نوع_الحركة]="صرف",[@الإجمالي],IF([@نوع_الحركة]="عكس",[@الإجمالي],0))))</f>
        <v/>
      </c>
      <c r="K2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2">
        <f>[@قبل_الضريبة]+[@مبلغ_الضريبة]</f>
        <v/>
      </c>
      <c r="S22">
        <f>IF([@كود_التصنيف]="","",_xlfn._xlws.XLOOKUP([@كود_التصنيف],tblCat[كود_التصنيف],tblCat[نوع_تدفق],""))</f>
        <v/>
      </c>
      <c r="Y22">
        <f>IF([@كود_التصنيف]="","",[@كود_التصنيف]&amp;"|"&amp;[@نوع_الحركة]&amp;"|"&amp;[@كود_معالجة_ضريبية])</f>
        <v/>
      </c>
      <c r="Z22">
        <f>IF([@مفتاح_المقابل]="",0,COUNTIF(tblContra[مفتاح_الحساب_المقابل],[@مفتاح_المقابل]))</f>
        <v/>
      </c>
      <c r="AA22">
        <f>IF([@مفتاح_المقابل]="","",IF([@عدد_تطابقات]=0,"لا تطابق في دليل المقابل",IF([@عدد_تطابقات]&gt;1,"تطابق مكرر في الدليل","")))</f>
        <v/>
      </c>
      <c r="AB22">
        <f>IF([@عدد_تطابقات]&lt;&gt;1,"",_xlfn._xlws.XLOOKUP([@مفتاح_المقابل],tblContra[مفتاح_الحساب_المقابل],tblContra[كود_تحليلي],""))</f>
        <v/>
      </c>
      <c r="AC22">
        <f>IF(AND([@خطأ_المقابل]="",[@الحساب]&lt;&gt;"",[@كود_التصنيف]&lt;&gt;"",[@الإجمالي]&gt;0),"نعم","لا")</f>
        <v/>
      </c>
    </row>
    <row r="23">
      <c r="F23">
        <f>IF([@يؤثر_في_الرصيد]&lt;&gt;"نعم",0,IF([@حالة_السجل]="معكوسة",0,IF([@نوع_الحركة]="قبض",[@الإجمالي],0)))</f>
        <v/>
      </c>
      <c r="G23">
        <f>IF([@يؤثر_في_الرصيد]&lt;&gt;"نعم",0,IF([@حالة_السجل]="معكوسة",0,IF([@نوع_الحركة]="صرف",[@الإجمالي],IF([@نوع_الحركة]="عكس",[@الإجمالي],0))))</f>
        <v/>
      </c>
      <c r="K2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3">
        <f>[@قبل_الضريبة]+[@مبلغ_الضريبة]</f>
        <v/>
      </c>
      <c r="S23">
        <f>IF([@كود_التصنيف]="","",_xlfn._xlws.XLOOKUP([@كود_التصنيف],tblCat[كود_التصنيف],tblCat[نوع_تدفق],""))</f>
        <v/>
      </c>
      <c r="Y23">
        <f>IF([@كود_التصنيف]="","",[@كود_التصنيف]&amp;"|"&amp;[@نوع_الحركة]&amp;"|"&amp;[@كود_معالجة_ضريبية])</f>
        <v/>
      </c>
      <c r="Z23">
        <f>IF([@مفتاح_المقابل]="",0,COUNTIF(tblContra[مفتاح_الحساب_المقابل],[@مفتاح_المقابل]))</f>
        <v/>
      </c>
      <c r="AA23">
        <f>IF([@مفتاح_المقابل]="","",IF([@عدد_تطابقات]=0,"لا تطابق في دليل المقابل",IF([@عدد_تطابقات]&gt;1,"تطابق مكرر في الدليل","")))</f>
        <v/>
      </c>
      <c r="AB23">
        <f>IF([@عدد_تطابقات]&lt;&gt;1,"",_xlfn._xlws.XLOOKUP([@مفتاح_المقابل],tblContra[مفتاح_الحساب_المقابل],tblContra[كود_تحليلي],""))</f>
        <v/>
      </c>
      <c r="AC23">
        <f>IF(AND([@خطأ_المقابل]="",[@الحساب]&lt;&gt;"",[@كود_التصنيف]&lt;&gt;"",[@الإجمالي]&gt;0),"نعم","لا")</f>
        <v/>
      </c>
    </row>
    <row r="24">
      <c r="F24">
        <f>IF([@يؤثر_في_الرصيد]&lt;&gt;"نعم",0,IF([@حالة_السجل]="معكوسة",0,IF([@نوع_الحركة]="قبض",[@الإجمالي],0)))</f>
        <v/>
      </c>
      <c r="G24">
        <f>IF([@يؤثر_في_الرصيد]&lt;&gt;"نعم",0,IF([@حالة_السجل]="معكوسة",0,IF([@نوع_الحركة]="صرف",[@الإجمالي],IF([@نوع_الحركة]="عكس",[@الإجمالي],0))))</f>
        <v/>
      </c>
      <c r="K2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4">
        <f>[@قبل_الضريبة]+[@مبلغ_الضريبة]</f>
        <v/>
      </c>
      <c r="S24">
        <f>IF([@كود_التصنيف]="","",_xlfn._xlws.XLOOKUP([@كود_التصنيف],tblCat[كود_التصنيف],tblCat[نوع_تدفق],""))</f>
        <v/>
      </c>
      <c r="Y24">
        <f>IF([@كود_التصنيف]="","",[@كود_التصنيف]&amp;"|"&amp;[@نوع_الحركة]&amp;"|"&amp;[@كود_معالجة_ضريبية])</f>
        <v/>
      </c>
      <c r="Z24">
        <f>IF([@مفتاح_المقابل]="",0,COUNTIF(tblContra[مفتاح_الحساب_المقابل],[@مفتاح_المقابل]))</f>
        <v/>
      </c>
      <c r="AA24">
        <f>IF([@مفتاح_المقابل]="","",IF([@عدد_تطابقات]=0,"لا تطابق في دليل المقابل",IF([@عدد_تطابقات]&gt;1,"تطابق مكرر في الدليل","")))</f>
        <v/>
      </c>
      <c r="AB24">
        <f>IF([@عدد_تطابقات]&lt;&gt;1,"",_xlfn._xlws.XLOOKUP([@مفتاح_المقابل],tblContra[مفتاح_الحساب_المقابل],tblContra[كود_تحليلي],""))</f>
        <v/>
      </c>
      <c r="AC24">
        <f>IF(AND([@خطأ_المقابل]="",[@الحساب]&lt;&gt;"",[@كود_التصنيف]&lt;&gt;"",[@الإجمالي]&gt;0),"نعم","لا")</f>
        <v/>
      </c>
    </row>
    <row r="25">
      <c r="F25">
        <f>IF([@يؤثر_في_الرصيد]&lt;&gt;"نعم",0,IF([@حالة_السجل]="معكوسة",0,IF([@نوع_الحركة]="قبض",[@الإجمالي],0)))</f>
        <v/>
      </c>
      <c r="G25">
        <f>IF([@يؤثر_في_الرصيد]&lt;&gt;"نعم",0,IF([@حالة_السجل]="معكوسة",0,IF([@نوع_الحركة]="صرف",[@الإجمالي],IF([@نوع_الحركة]="عكس",[@الإجمالي],0))))</f>
        <v/>
      </c>
      <c r="K2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5">
        <f>[@قبل_الضريبة]+[@مبلغ_الضريبة]</f>
        <v/>
      </c>
      <c r="S25">
        <f>IF([@كود_التصنيف]="","",_xlfn._xlws.XLOOKUP([@كود_التصنيف],tblCat[كود_التصنيف],tblCat[نوع_تدفق],""))</f>
        <v/>
      </c>
      <c r="Y25">
        <f>IF([@كود_التصنيف]="","",[@كود_التصنيف]&amp;"|"&amp;[@نوع_الحركة]&amp;"|"&amp;[@كود_معالجة_ضريبية])</f>
        <v/>
      </c>
      <c r="Z25">
        <f>IF([@مفتاح_المقابل]="",0,COUNTIF(tblContra[مفتاح_الحساب_المقابل],[@مفتاح_المقابل]))</f>
        <v/>
      </c>
      <c r="AA25">
        <f>IF([@مفتاح_المقابل]="","",IF([@عدد_تطابقات]=0,"لا تطابق في دليل المقابل",IF([@عدد_تطابقات]&gt;1,"تطابق مكرر في الدليل","")))</f>
        <v/>
      </c>
      <c r="AB25">
        <f>IF([@عدد_تطابقات]&lt;&gt;1,"",_xlfn._xlws.XLOOKUP([@مفتاح_المقابل],tblContra[مفتاح_الحساب_المقابل],tblContra[كود_تحليلي],""))</f>
        <v/>
      </c>
      <c r="AC25">
        <f>IF(AND([@خطأ_المقابل]="",[@الحساب]&lt;&gt;"",[@كود_التصنيف]&lt;&gt;"",[@الإجمالي]&gt;0),"نعم","لا")</f>
        <v/>
      </c>
    </row>
    <row r="26">
      <c r="F26">
        <f>IF([@يؤثر_في_الرصيد]&lt;&gt;"نعم",0,IF([@حالة_السجل]="معكوسة",0,IF([@نوع_الحركة]="قبض",[@الإجمالي],0)))</f>
        <v/>
      </c>
      <c r="G26">
        <f>IF([@يؤثر_في_الرصيد]&lt;&gt;"نعم",0,IF([@حالة_السجل]="معكوسة",0,IF([@نوع_الحركة]="صرف",[@الإجمالي],IF([@نوع_الحركة]="عكس",[@الإجمالي],0))))</f>
        <v/>
      </c>
      <c r="K2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6">
        <f>[@قبل_الضريبة]+[@مبلغ_الضريبة]</f>
        <v/>
      </c>
      <c r="S26">
        <f>IF([@كود_التصنيف]="","",_xlfn._xlws.XLOOKUP([@كود_التصنيف],tblCat[كود_التصنيف],tblCat[نوع_تدفق],""))</f>
        <v/>
      </c>
      <c r="Y26">
        <f>IF([@كود_التصنيف]="","",[@كود_التصنيف]&amp;"|"&amp;[@نوع_الحركة]&amp;"|"&amp;[@كود_معالجة_ضريبية])</f>
        <v/>
      </c>
      <c r="Z26">
        <f>IF([@مفتاح_المقابل]="",0,COUNTIF(tblContra[مفتاح_الحساب_المقابل],[@مفتاح_المقابل]))</f>
        <v/>
      </c>
      <c r="AA26">
        <f>IF([@مفتاح_المقابل]="","",IF([@عدد_تطابقات]=0,"لا تطابق في دليل المقابل",IF([@عدد_تطابقات]&gt;1,"تطابق مكرر في الدليل","")))</f>
        <v/>
      </c>
      <c r="AB26">
        <f>IF([@عدد_تطابقات]&lt;&gt;1,"",_xlfn._xlws.XLOOKUP([@مفتاح_المقابل],tblContra[مفتاح_الحساب_المقابل],tblContra[كود_تحليلي],""))</f>
        <v/>
      </c>
      <c r="AC26">
        <f>IF(AND([@خطأ_المقابل]="",[@الحساب]&lt;&gt;"",[@كود_التصنيف]&lt;&gt;"",[@الإجمالي]&gt;0),"نعم","لا")</f>
        <v/>
      </c>
    </row>
    <row r="27">
      <c r="F27">
        <f>IF([@يؤثر_في_الرصيد]&lt;&gt;"نعم",0,IF([@حالة_السجل]="معكوسة",0,IF([@نوع_الحركة]="قبض",[@الإجمالي],0)))</f>
        <v/>
      </c>
      <c r="G27">
        <f>IF([@يؤثر_في_الرصيد]&lt;&gt;"نعم",0,IF([@حالة_السجل]="معكوسة",0,IF([@نوع_الحركة]="صرف",[@الإجمالي],IF([@نوع_الحركة]="عكس",[@الإجمالي],0))))</f>
        <v/>
      </c>
      <c r="K2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7">
        <f>[@قبل_الضريبة]+[@مبلغ_الضريبة]</f>
        <v/>
      </c>
      <c r="S27">
        <f>IF([@كود_التصنيف]="","",_xlfn._xlws.XLOOKUP([@كود_التصنيف],tblCat[كود_التصنيف],tblCat[نوع_تدفق],""))</f>
        <v/>
      </c>
      <c r="Y27">
        <f>IF([@كود_التصنيف]="","",[@كود_التصنيف]&amp;"|"&amp;[@نوع_الحركة]&amp;"|"&amp;[@كود_معالجة_ضريبية])</f>
        <v/>
      </c>
      <c r="Z27">
        <f>IF([@مفتاح_المقابل]="",0,COUNTIF(tblContra[مفتاح_الحساب_المقابل],[@مفتاح_المقابل]))</f>
        <v/>
      </c>
      <c r="AA27">
        <f>IF([@مفتاح_المقابل]="","",IF([@عدد_تطابقات]=0,"لا تطابق في دليل المقابل",IF([@عدد_تطابقات]&gt;1,"تطابق مكرر في الدليل","")))</f>
        <v/>
      </c>
      <c r="AB27">
        <f>IF([@عدد_تطابقات]&lt;&gt;1,"",_xlfn._xlws.XLOOKUP([@مفتاح_المقابل],tblContra[مفتاح_الحساب_المقابل],tblContra[كود_تحليلي],""))</f>
        <v/>
      </c>
      <c r="AC27">
        <f>IF(AND([@خطأ_المقابل]="",[@الحساب]&lt;&gt;"",[@كود_التصنيف]&lt;&gt;"",[@الإجمالي]&gt;0),"نعم","لا")</f>
        <v/>
      </c>
    </row>
    <row r="28">
      <c r="F28">
        <f>IF([@يؤثر_في_الرصيد]&lt;&gt;"نعم",0,IF([@حالة_السجل]="معكوسة",0,IF([@نوع_الحركة]="قبض",[@الإجمالي],0)))</f>
        <v/>
      </c>
      <c r="G28">
        <f>IF([@يؤثر_في_الرصيد]&lt;&gt;"نعم",0,IF([@حالة_السجل]="معكوسة",0,IF([@نوع_الحركة]="صرف",[@الإجمالي],IF([@نوع_الحركة]="عكس",[@الإجمالي],0))))</f>
        <v/>
      </c>
      <c r="K2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8">
        <f>[@قبل_الضريبة]+[@مبلغ_الضريبة]</f>
        <v/>
      </c>
      <c r="S28">
        <f>IF([@كود_التصنيف]="","",_xlfn._xlws.XLOOKUP([@كود_التصنيف],tblCat[كود_التصنيف],tblCat[نوع_تدفق],""))</f>
        <v/>
      </c>
      <c r="Y28">
        <f>IF([@كود_التصنيف]="","",[@كود_التصنيف]&amp;"|"&amp;[@نوع_الحركة]&amp;"|"&amp;[@كود_معالجة_ضريبية])</f>
        <v/>
      </c>
      <c r="Z28">
        <f>IF([@مفتاح_المقابل]="",0,COUNTIF(tblContra[مفتاح_الحساب_المقابل],[@مفتاح_المقابل]))</f>
        <v/>
      </c>
      <c r="AA28">
        <f>IF([@مفتاح_المقابل]="","",IF([@عدد_تطابقات]=0,"لا تطابق في دليل المقابل",IF([@عدد_تطابقات]&gt;1,"تطابق مكرر في الدليل","")))</f>
        <v/>
      </c>
      <c r="AB28">
        <f>IF([@عدد_تطابقات]&lt;&gt;1,"",_xlfn._xlws.XLOOKUP([@مفتاح_المقابل],tblContra[مفتاح_الحساب_المقابل],tblContra[كود_تحليلي],""))</f>
        <v/>
      </c>
      <c r="AC28">
        <f>IF(AND([@خطأ_المقابل]="",[@الحساب]&lt;&gt;"",[@كود_التصنيف]&lt;&gt;"",[@الإجمالي]&gt;0),"نعم","لا")</f>
        <v/>
      </c>
    </row>
    <row r="29">
      <c r="F29">
        <f>IF([@يؤثر_في_الرصيد]&lt;&gt;"نعم",0,IF([@حالة_السجل]="معكوسة",0,IF([@نوع_الحركة]="قبض",[@الإجمالي],0)))</f>
        <v/>
      </c>
      <c r="G29">
        <f>IF([@يؤثر_في_الرصيد]&lt;&gt;"نعم",0,IF([@حالة_السجل]="معكوسة",0,IF([@نوع_الحركة]="صرف",[@الإجمالي],IF([@نوع_الحركة]="عكس",[@الإجمالي],0))))</f>
        <v/>
      </c>
      <c r="K2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29">
        <f>[@قبل_الضريبة]+[@مبلغ_الضريبة]</f>
        <v/>
      </c>
      <c r="S29">
        <f>IF([@كود_التصنيف]="","",_xlfn._xlws.XLOOKUP([@كود_التصنيف],tblCat[كود_التصنيف],tblCat[نوع_تدفق],""))</f>
        <v/>
      </c>
      <c r="Y29">
        <f>IF([@كود_التصنيف]="","",[@كود_التصنيف]&amp;"|"&amp;[@نوع_الحركة]&amp;"|"&amp;[@كود_معالجة_ضريبية])</f>
        <v/>
      </c>
      <c r="Z29">
        <f>IF([@مفتاح_المقابل]="",0,COUNTIF(tblContra[مفتاح_الحساب_المقابل],[@مفتاح_المقابل]))</f>
        <v/>
      </c>
      <c r="AA29">
        <f>IF([@مفتاح_المقابل]="","",IF([@عدد_تطابقات]=0,"لا تطابق في دليل المقابل",IF([@عدد_تطابقات]&gt;1,"تطابق مكرر في الدليل","")))</f>
        <v/>
      </c>
      <c r="AB29">
        <f>IF([@عدد_تطابقات]&lt;&gt;1,"",_xlfn._xlws.XLOOKUP([@مفتاح_المقابل],tblContra[مفتاح_الحساب_المقابل],tblContra[كود_تحليلي],""))</f>
        <v/>
      </c>
      <c r="AC29">
        <f>IF(AND([@خطأ_المقابل]="",[@الحساب]&lt;&gt;"",[@كود_التصنيف]&lt;&gt;"",[@الإجمالي]&gt;0),"نعم","لا")</f>
        <v/>
      </c>
    </row>
    <row r="30">
      <c r="F30">
        <f>IF([@يؤثر_في_الرصيد]&lt;&gt;"نعم",0,IF([@حالة_السجل]="معكوسة",0,IF([@نوع_الحركة]="قبض",[@الإجمالي],0)))</f>
        <v/>
      </c>
      <c r="G30">
        <f>IF([@يؤثر_في_الرصيد]&lt;&gt;"نعم",0,IF([@حالة_السجل]="معكوسة",0,IF([@نوع_الحركة]="صرف",[@الإجمالي],IF([@نوع_الحركة]="عكس",[@الإجمالي],0))))</f>
        <v/>
      </c>
      <c r="K3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0">
        <f>[@قبل_الضريبة]+[@مبلغ_الضريبة]</f>
        <v/>
      </c>
      <c r="S30">
        <f>IF([@كود_التصنيف]="","",_xlfn._xlws.XLOOKUP([@كود_التصنيف],tblCat[كود_التصنيف],tblCat[نوع_تدفق],""))</f>
        <v/>
      </c>
      <c r="Y30">
        <f>IF([@كود_التصنيف]="","",[@كود_التصنيف]&amp;"|"&amp;[@نوع_الحركة]&amp;"|"&amp;[@كود_معالجة_ضريبية])</f>
        <v/>
      </c>
      <c r="Z30">
        <f>IF([@مفتاح_المقابل]="",0,COUNTIF(tblContra[مفتاح_الحساب_المقابل],[@مفتاح_المقابل]))</f>
        <v/>
      </c>
      <c r="AA30">
        <f>IF([@مفتاح_المقابل]="","",IF([@عدد_تطابقات]=0,"لا تطابق في دليل المقابل",IF([@عدد_تطابقات]&gt;1,"تطابق مكرر في الدليل","")))</f>
        <v/>
      </c>
      <c r="AB30">
        <f>IF([@عدد_تطابقات]&lt;&gt;1,"",_xlfn._xlws.XLOOKUP([@مفتاح_المقابل],tblContra[مفتاح_الحساب_المقابل],tblContra[كود_تحليلي],""))</f>
        <v/>
      </c>
      <c r="AC30">
        <f>IF(AND([@خطأ_المقابل]="",[@الحساب]&lt;&gt;"",[@كود_التصنيف]&lt;&gt;"",[@الإجمالي]&gt;0),"نعم","لا")</f>
        <v/>
      </c>
    </row>
    <row r="31">
      <c r="F31">
        <f>IF([@يؤثر_في_الرصيد]&lt;&gt;"نعم",0,IF([@حالة_السجل]="معكوسة",0,IF([@نوع_الحركة]="قبض",[@الإجمالي],0)))</f>
        <v/>
      </c>
      <c r="G31">
        <f>IF([@يؤثر_في_الرصيد]&lt;&gt;"نعم",0,IF([@حالة_السجل]="معكوسة",0,IF([@نوع_الحركة]="صرف",[@الإجمالي],IF([@نوع_الحركة]="عكس",[@الإجمالي],0))))</f>
        <v/>
      </c>
      <c r="K3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1">
        <f>[@قبل_الضريبة]+[@مبلغ_الضريبة]</f>
        <v/>
      </c>
      <c r="S31">
        <f>IF([@كود_التصنيف]="","",_xlfn._xlws.XLOOKUP([@كود_التصنيف],tblCat[كود_التصنيف],tblCat[نوع_تدفق],""))</f>
        <v/>
      </c>
      <c r="Y31">
        <f>IF([@كود_التصنيف]="","",[@كود_التصنيف]&amp;"|"&amp;[@نوع_الحركة]&amp;"|"&amp;[@كود_معالجة_ضريبية])</f>
        <v/>
      </c>
      <c r="Z31">
        <f>IF([@مفتاح_المقابل]="",0,COUNTIF(tblContra[مفتاح_الحساب_المقابل],[@مفتاح_المقابل]))</f>
        <v/>
      </c>
      <c r="AA31">
        <f>IF([@مفتاح_المقابل]="","",IF([@عدد_تطابقات]=0,"لا تطابق في دليل المقابل",IF([@عدد_تطابقات]&gt;1,"تطابق مكرر في الدليل","")))</f>
        <v/>
      </c>
      <c r="AB31">
        <f>IF([@عدد_تطابقات]&lt;&gt;1,"",_xlfn._xlws.XLOOKUP([@مفتاح_المقابل],tblContra[مفتاح_الحساب_المقابل],tblContra[كود_تحليلي],""))</f>
        <v/>
      </c>
      <c r="AC31">
        <f>IF(AND([@خطأ_المقابل]="",[@الحساب]&lt;&gt;"",[@كود_التصنيف]&lt;&gt;"",[@الإجمالي]&gt;0),"نعم","لا")</f>
        <v/>
      </c>
    </row>
    <row r="32">
      <c r="F32">
        <f>IF([@يؤثر_في_الرصيد]&lt;&gt;"نعم",0,IF([@حالة_السجل]="معكوسة",0,IF([@نوع_الحركة]="قبض",[@الإجمالي],0)))</f>
        <v/>
      </c>
      <c r="G32">
        <f>IF([@يؤثر_في_الرصيد]&lt;&gt;"نعم",0,IF([@حالة_السجل]="معكوسة",0,IF([@نوع_الحركة]="صرف",[@الإجمالي],IF([@نوع_الحركة]="عكس",[@الإجمالي],0))))</f>
        <v/>
      </c>
      <c r="K3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2">
        <f>[@قبل_الضريبة]+[@مبلغ_الضريبة]</f>
        <v/>
      </c>
      <c r="S32">
        <f>IF([@كود_التصنيف]="","",_xlfn._xlws.XLOOKUP([@كود_التصنيف],tblCat[كود_التصنيف],tblCat[نوع_تدفق],""))</f>
        <v/>
      </c>
      <c r="Y32">
        <f>IF([@كود_التصنيف]="","",[@كود_التصنيف]&amp;"|"&amp;[@نوع_الحركة]&amp;"|"&amp;[@كود_معالجة_ضريبية])</f>
        <v/>
      </c>
      <c r="Z32">
        <f>IF([@مفتاح_المقابل]="",0,COUNTIF(tblContra[مفتاح_الحساب_المقابل],[@مفتاح_المقابل]))</f>
        <v/>
      </c>
      <c r="AA32">
        <f>IF([@مفتاح_المقابل]="","",IF([@عدد_تطابقات]=0,"لا تطابق في دليل المقابل",IF([@عدد_تطابقات]&gt;1,"تطابق مكرر في الدليل","")))</f>
        <v/>
      </c>
      <c r="AB32">
        <f>IF([@عدد_تطابقات]&lt;&gt;1,"",_xlfn._xlws.XLOOKUP([@مفتاح_المقابل],tblContra[مفتاح_الحساب_المقابل],tblContra[كود_تحليلي],""))</f>
        <v/>
      </c>
      <c r="AC32">
        <f>IF(AND([@خطأ_المقابل]="",[@الحساب]&lt;&gt;"",[@كود_التصنيف]&lt;&gt;"",[@الإجمالي]&gt;0),"نعم","لا")</f>
        <v/>
      </c>
    </row>
    <row r="33">
      <c r="F33">
        <f>IF([@يؤثر_في_الرصيد]&lt;&gt;"نعم",0,IF([@حالة_السجل]="معكوسة",0,IF([@نوع_الحركة]="قبض",[@الإجمالي],0)))</f>
        <v/>
      </c>
      <c r="G33">
        <f>IF([@يؤثر_في_الرصيد]&lt;&gt;"نعم",0,IF([@حالة_السجل]="معكوسة",0,IF([@نوع_الحركة]="صرف",[@الإجمالي],IF([@نوع_الحركة]="عكس",[@الإجمالي],0))))</f>
        <v/>
      </c>
      <c r="K3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3">
        <f>[@قبل_الضريبة]+[@مبلغ_الضريبة]</f>
        <v/>
      </c>
      <c r="S33">
        <f>IF([@كود_التصنيف]="","",_xlfn._xlws.XLOOKUP([@كود_التصنيف],tblCat[كود_التصنيف],tblCat[نوع_تدفق],""))</f>
        <v/>
      </c>
      <c r="Y33">
        <f>IF([@كود_التصنيف]="","",[@كود_التصنيف]&amp;"|"&amp;[@نوع_الحركة]&amp;"|"&amp;[@كود_معالجة_ضريبية])</f>
        <v/>
      </c>
      <c r="Z33">
        <f>IF([@مفتاح_المقابل]="",0,COUNTIF(tblContra[مفتاح_الحساب_المقابل],[@مفتاح_المقابل]))</f>
        <v/>
      </c>
      <c r="AA33">
        <f>IF([@مفتاح_المقابل]="","",IF([@عدد_تطابقات]=0,"لا تطابق في دليل المقابل",IF([@عدد_تطابقات]&gt;1,"تطابق مكرر في الدليل","")))</f>
        <v/>
      </c>
      <c r="AB33">
        <f>IF([@عدد_تطابقات]&lt;&gt;1,"",_xlfn._xlws.XLOOKUP([@مفتاح_المقابل],tblContra[مفتاح_الحساب_المقابل],tblContra[كود_تحليلي],""))</f>
        <v/>
      </c>
      <c r="AC33">
        <f>IF(AND([@خطأ_المقابل]="",[@الحساب]&lt;&gt;"",[@كود_التصنيف]&lt;&gt;"",[@الإجمالي]&gt;0),"نعم","لا")</f>
        <v/>
      </c>
    </row>
    <row r="34">
      <c r="F34">
        <f>IF([@يؤثر_في_الرصيد]&lt;&gt;"نعم",0,IF([@حالة_السجل]="معكوسة",0,IF([@نوع_الحركة]="قبض",[@الإجمالي],0)))</f>
        <v/>
      </c>
      <c r="G34">
        <f>IF([@يؤثر_في_الرصيد]&lt;&gt;"نعم",0,IF([@حالة_السجل]="معكوسة",0,IF([@نوع_الحركة]="صرف",[@الإجمالي],IF([@نوع_الحركة]="عكس",[@الإجمالي],0))))</f>
        <v/>
      </c>
      <c r="K3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4">
        <f>[@قبل_الضريبة]+[@مبلغ_الضريبة]</f>
        <v/>
      </c>
      <c r="S34">
        <f>IF([@كود_التصنيف]="","",_xlfn._xlws.XLOOKUP([@كود_التصنيف],tblCat[كود_التصنيف],tblCat[نوع_تدفق],""))</f>
        <v/>
      </c>
      <c r="Y34">
        <f>IF([@كود_التصنيف]="","",[@كود_التصنيف]&amp;"|"&amp;[@نوع_الحركة]&amp;"|"&amp;[@كود_معالجة_ضريبية])</f>
        <v/>
      </c>
      <c r="Z34">
        <f>IF([@مفتاح_المقابل]="",0,COUNTIF(tblContra[مفتاح_الحساب_المقابل],[@مفتاح_المقابل]))</f>
        <v/>
      </c>
      <c r="AA34">
        <f>IF([@مفتاح_المقابل]="","",IF([@عدد_تطابقات]=0,"لا تطابق في دليل المقابل",IF([@عدد_تطابقات]&gt;1,"تطابق مكرر في الدليل","")))</f>
        <v/>
      </c>
      <c r="AB34">
        <f>IF([@عدد_تطابقات]&lt;&gt;1,"",_xlfn._xlws.XLOOKUP([@مفتاح_المقابل],tblContra[مفتاح_الحساب_المقابل],tblContra[كود_تحليلي],""))</f>
        <v/>
      </c>
      <c r="AC34">
        <f>IF(AND([@خطأ_المقابل]="",[@الحساب]&lt;&gt;"",[@كود_التصنيف]&lt;&gt;"",[@الإجمالي]&gt;0),"نعم","لا")</f>
        <v/>
      </c>
    </row>
    <row r="35">
      <c r="F35">
        <f>IF([@يؤثر_في_الرصيد]&lt;&gt;"نعم",0,IF([@حالة_السجل]="معكوسة",0,IF([@نوع_الحركة]="قبض",[@الإجمالي],0)))</f>
        <v/>
      </c>
      <c r="G35">
        <f>IF([@يؤثر_في_الرصيد]&lt;&gt;"نعم",0,IF([@حالة_السجل]="معكوسة",0,IF([@نوع_الحركة]="صرف",[@الإجمالي],IF([@نوع_الحركة]="عكس",[@الإجمالي],0))))</f>
        <v/>
      </c>
      <c r="K3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5">
        <f>[@قبل_الضريبة]+[@مبلغ_الضريبة]</f>
        <v/>
      </c>
      <c r="S35">
        <f>IF([@كود_التصنيف]="","",_xlfn._xlws.XLOOKUP([@كود_التصنيف],tblCat[كود_التصنيف],tblCat[نوع_تدفق],""))</f>
        <v/>
      </c>
      <c r="Y35">
        <f>IF([@كود_التصنيف]="","",[@كود_التصنيف]&amp;"|"&amp;[@نوع_الحركة]&amp;"|"&amp;[@كود_معالجة_ضريبية])</f>
        <v/>
      </c>
      <c r="Z35">
        <f>IF([@مفتاح_المقابل]="",0,COUNTIF(tblContra[مفتاح_الحساب_المقابل],[@مفتاح_المقابل]))</f>
        <v/>
      </c>
      <c r="AA35">
        <f>IF([@مفتاح_المقابل]="","",IF([@عدد_تطابقات]=0,"لا تطابق في دليل المقابل",IF([@عدد_تطابقات]&gt;1,"تطابق مكرر في الدليل","")))</f>
        <v/>
      </c>
      <c r="AB35">
        <f>IF([@عدد_تطابقات]&lt;&gt;1,"",_xlfn._xlws.XLOOKUP([@مفتاح_المقابل],tblContra[مفتاح_الحساب_المقابل],tblContra[كود_تحليلي],""))</f>
        <v/>
      </c>
      <c r="AC35">
        <f>IF(AND([@خطأ_المقابل]="",[@الحساب]&lt;&gt;"",[@كود_التصنيف]&lt;&gt;"",[@الإجمالي]&gt;0),"نعم","لا")</f>
        <v/>
      </c>
    </row>
    <row r="36">
      <c r="F36">
        <f>IF([@يؤثر_في_الرصيد]&lt;&gt;"نعم",0,IF([@حالة_السجل]="معكوسة",0,IF([@نوع_الحركة]="قبض",[@الإجمالي],0)))</f>
        <v/>
      </c>
      <c r="G36">
        <f>IF([@يؤثر_في_الرصيد]&lt;&gt;"نعم",0,IF([@حالة_السجل]="معكوسة",0,IF([@نوع_الحركة]="صرف",[@الإجمالي],IF([@نوع_الحركة]="عكس",[@الإجمالي],0))))</f>
        <v/>
      </c>
      <c r="K3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6">
        <f>[@قبل_الضريبة]+[@مبلغ_الضريبة]</f>
        <v/>
      </c>
      <c r="S36">
        <f>IF([@كود_التصنيف]="","",_xlfn._xlws.XLOOKUP([@كود_التصنيف],tblCat[كود_التصنيف],tblCat[نوع_تدفق],""))</f>
        <v/>
      </c>
      <c r="Y36">
        <f>IF([@كود_التصنيف]="","",[@كود_التصنيف]&amp;"|"&amp;[@نوع_الحركة]&amp;"|"&amp;[@كود_معالجة_ضريبية])</f>
        <v/>
      </c>
      <c r="Z36">
        <f>IF([@مفتاح_المقابل]="",0,COUNTIF(tblContra[مفتاح_الحساب_المقابل],[@مفتاح_المقابل]))</f>
        <v/>
      </c>
      <c r="AA36">
        <f>IF([@مفتاح_المقابل]="","",IF([@عدد_تطابقات]=0,"لا تطابق في دليل المقابل",IF([@عدد_تطابقات]&gt;1,"تطابق مكرر في الدليل","")))</f>
        <v/>
      </c>
      <c r="AB36">
        <f>IF([@عدد_تطابقات]&lt;&gt;1,"",_xlfn._xlws.XLOOKUP([@مفتاح_المقابل],tblContra[مفتاح_الحساب_المقابل],tblContra[كود_تحليلي],""))</f>
        <v/>
      </c>
      <c r="AC36">
        <f>IF(AND([@خطأ_المقابل]="",[@الحساب]&lt;&gt;"",[@كود_التصنيف]&lt;&gt;"",[@الإجمالي]&gt;0),"نعم","لا")</f>
        <v/>
      </c>
    </row>
    <row r="37">
      <c r="F37">
        <f>IF([@يؤثر_في_الرصيد]&lt;&gt;"نعم",0,IF([@حالة_السجل]="معكوسة",0,IF([@نوع_الحركة]="قبض",[@الإجمالي],0)))</f>
        <v/>
      </c>
      <c r="G37">
        <f>IF([@يؤثر_في_الرصيد]&lt;&gt;"نعم",0,IF([@حالة_السجل]="معكوسة",0,IF([@نوع_الحركة]="صرف",[@الإجمالي],IF([@نوع_الحركة]="عكس",[@الإجمالي],0))))</f>
        <v/>
      </c>
      <c r="K3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7">
        <f>[@قبل_الضريبة]+[@مبلغ_الضريبة]</f>
        <v/>
      </c>
      <c r="S37">
        <f>IF([@كود_التصنيف]="","",_xlfn._xlws.XLOOKUP([@كود_التصنيف],tblCat[كود_التصنيف],tblCat[نوع_تدفق],""))</f>
        <v/>
      </c>
      <c r="Y37">
        <f>IF([@كود_التصنيف]="","",[@كود_التصنيف]&amp;"|"&amp;[@نوع_الحركة]&amp;"|"&amp;[@كود_معالجة_ضريبية])</f>
        <v/>
      </c>
      <c r="Z37">
        <f>IF([@مفتاح_المقابل]="",0,COUNTIF(tblContra[مفتاح_الحساب_المقابل],[@مفتاح_المقابل]))</f>
        <v/>
      </c>
      <c r="AA37">
        <f>IF([@مفتاح_المقابل]="","",IF([@عدد_تطابقات]=0,"لا تطابق في دليل المقابل",IF([@عدد_تطابقات]&gt;1,"تطابق مكرر في الدليل","")))</f>
        <v/>
      </c>
      <c r="AB37">
        <f>IF([@عدد_تطابقات]&lt;&gt;1,"",_xlfn._xlws.XLOOKUP([@مفتاح_المقابل],tblContra[مفتاح_الحساب_المقابل],tblContra[كود_تحليلي],""))</f>
        <v/>
      </c>
      <c r="AC37">
        <f>IF(AND([@خطأ_المقابل]="",[@الحساب]&lt;&gt;"",[@كود_التصنيف]&lt;&gt;"",[@الإجمالي]&gt;0),"نعم","لا")</f>
        <v/>
      </c>
    </row>
    <row r="38">
      <c r="F38">
        <f>IF([@يؤثر_في_الرصيد]&lt;&gt;"نعم",0,IF([@حالة_السجل]="معكوسة",0,IF([@نوع_الحركة]="قبض",[@الإجمالي],0)))</f>
        <v/>
      </c>
      <c r="G38">
        <f>IF([@يؤثر_في_الرصيد]&lt;&gt;"نعم",0,IF([@حالة_السجل]="معكوسة",0,IF([@نوع_الحركة]="صرف",[@الإجمالي],IF([@نوع_الحركة]="عكس",[@الإجمالي],0))))</f>
        <v/>
      </c>
      <c r="K3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8">
        <f>[@قبل_الضريبة]+[@مبلغ_الضريبة]</f>
        <v/>
      </c>
      <c r="S38">
        <f>IF([@كود_التصنيف]="","",_xlfn._xlws.XLOOKUP([@كود_التصنيف],tblCat[كود_التصنيف],tblCat[نوع_تدفق],""))</f>
        <v/>
      </c>
      <c r="Y38">
        <f>IF([@كود_التصنيف]="","",[@كود_التصنيف]&amp;"|"&amp;[@نوع_الحركة]&amp;"|"&amp;[@كود_معالجة_ضريبية])</f>
        <v/>
      </c>
      <c r="Z38">
        <f>IF([@مفتاح_المقابل]="",0,COUNTIF(tblContra[مفتاح_الحساب_المقابل],[@مفتاح_المقابل]))</f>
        <v/>
      </c>
      <c r="AA38">
        <f>IF([@مفتاح_المقابل]="","",IF([@عدد_تطابقات]=0,"لا تطابق في دليل المقابل",IF([@عدد_تطابقات]&gt;1,"تطابق مكرر في الدليل","")))</f>
        <v/>
      </c>
      <c r="AB38">
        <f>IF([@عدد_تطابقات]&lt;&gt;1,"",_xlfn._xlws.XLOOKUP([@مفتاح_المقابل],tblContra[مفتاح_الحساب_المقابل],tblContra[كود_تحليلي],""))</f>
        <v/>
      </c>
      <c r="AC38">
        <f>IF(AND([@خطأ_المقابل]="",[@الحساب]&lt;&gt;"",[@كود_التصنيف]&lt;&gt;"",[@الإجمالي]&gt;0),"نعم","لا")</f>
        <v/>
      </c>
    </row>
    <row r="39">
      <c r="F39">
        <f>IF([@يؤثر_في_الرصيد]&lt;&gt;"نعم",0,IF([@حالة_السجل]="معكوسة",0,IF([@نوع_الحركة]="قبض",[@الإجمالي],0)))</f>
        <v/>
      </c>
      <c r="G39">
        <f>IF([@يؤثر_في_الرصيد]&lt;&gt;"نعم",0,IF([@حالة_السجل]="معكوسة",0,IF([@نوع_الحركة]="صرف",[@الإجمالي],IF([@نوع_الحركة]="عكس",[@الإجمالي],0))))</f>
        <v/>
      </c>
      <c r="K3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39">
        <f>[@قبل_الضريبة]+[@مبلغ_الضريبة]</f>
        <v/>
      </c>
      <c r="S39">
        <f>IF([@كود_التصنيف]="","",_xlfn._xlws.XLOOKUP([@كود_التصنيف],tblCat[كود_التصنيف],tblCat[نوع_تدفق],""))</f>
        <v/>
      </c>
      <c r="Y39">
        <f>IF([@كود_التصنيف]="","",[@كود_التصنيف]&amp;"|"&amp;[@نوع_الحركة]&amp;"|"&amp;[@كود_معالجة_ضريبية])</f>
        <v/>
      </c>
      <c r="Z39">
        <f>IF([@مفتاح_المقابل]="",0,COUNTIF(tblContra[مفتاح_الحساب_المقابل],[@مفتاح_المقابل]))</f>
        <v/>
      </c>
      <c r="AA39">
        <f>IF([@مفتاح_المقابل]="","",IF([@عدد_تطابقات]=0,"لا تطابق في دليل المقابل",IF([@عدد_تطابقات]&gt;1,"تطابق مكرر في الدليل","")))</f>
        <v/>
      </c>
      <c r="AB39">
        <f>IF([@عدد_تطابقات]&lt;&gt;1,"",_xlfn._xlws.XLOOKUP([@مفتاح_المقابل],tblContra[مفتاح_الحساب_المقابل],tblContra[كود_تحليلي],""))</f>
        <v/>
      </c>
      <c r="AC39">
        <f>IF(AND([@خطأ_المقابل]="",[@الحساب]&lt;&gt;"",[@كود_التصنيف]&lt;&gt;"",[@الإجمالي]&gt;0),"نعم","لا")</f>
        <v/>
      </c>
    </row>
    <row r="40">
      <c r="F40">
        <f>IF([@يؤثر_في_الرصيد]&lt;&gt;"نعم",0,IF([@حالة_السجل]="معكوسة",0,IF([@نوع_الحركة]="قبض",[@الإجمالي],0)))</f>
        <v/>
      </c>
      <c r="G40">
        <f>IF([@يؤثر_في_الرصيد]&lt;&gt;"نعم",0,IF([@حالة_السجل]="معكوسة",0,IF([@نوع_الحركة]="صرف",[@الإجمالي],IF([@نوع_الحركة]="عكس",[@الإجمالي],0))))</f>
        <v/>
      </c>
      <c r="K4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0">
        <f>[@قبل_الضريبة]+[@مبلغ_الضريبة]</f>
        <v/>
      </c>
      <c r="S40">
        <f>IF([@كود_التصنيف]="","",_xlfn._xlws.XLOOKUP([@كود_التصنيف],tblCat[كود_التصنيف],tblCat[نوع_تدفق],""))</f>
        <v/>
      </c>
      <c r="Y40">
        <f>IF([@كود_التصنيف]="","",[@كود_التصنيف]&amp;"|"&amp;[@نوع_الحركة]&amp;"|"&amp;[@كود_معالجة_ضريبية])</f>
        <v/>
      </c>
      <c r="Z40">
        <f>IF([@مفتاح_المقابل]="",0,COUNTIF(tblContra[مفتاح_الحساب_المقابل],[@مفتاح_المقابل]))</f>
        <v/>
      </c>
      <c r="AA40">
        <f>IF([@مفتاح_المقابل]="","",IF([@عدد_تطابقات]=0,"لا تطابق في دليل المقابل",IF([@عدد_تطابقات]&gt;1,"تطابق مكرر في الدليل","")))</f>
        <v/>
      </c>
      <c r="AB40">
        <f>IF([@عدد_تطابقات]&lt;&gt;1,"",_xlfn._xlws.XLOOKUP([@مفتاح_المقابل],tblContra[مفتاح_الحساب_المقابل],tblContra[كود_تحليلي],""))</f>
        <v/>
      </c>
      <c r="AC40">
        <f>IF(AND([@خطأ_المقابل]="",[@الحساب]&lt;&gt;"",[@كود_التصنيف]&lt;&gt;"",[@الإجمالي]&gt;0),"نعم","لا")</f>
        <v/>
      </c>
    </row>
    <row r="41">
      <c r="F41">
        <f>IF([@يؤثر_في_الرصيد]&lt;&gt;"نعم",0,IF([@حالة_السجل]="معكوسة",0,IF([@نوع_الحركة]="قبض",[@الإجمالي],0)))</f>
        <v/>
      </c>
      <c r="G41">
        <f>IF([@يؤثر_في_الرصيد]&lt;&gt;"نعم",0,IF([@حالة_السجل]="معكوسة",0,IF([@نوع_الحركة]="صرف",[@الإجمالي],IF([@نوع_الحركة]="عكس",[@الإجمالي],0))))</f>
        <v/>
      </c>
      <c r="K4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1">
        <f>[@قبل_الضريبة]+[@مبلغ_الضريبة]</f>
        <v/>
      </c>
      <c r="S41">
        <f>IF([@كود_التصنيف]="","",_xlfn._xlws.XLOOKUP([@كود_التصنيف],tblCat[كود_التصنيف],tblCat[نوع_تدفق],""))</f>
        <v/>
      </c>
      <c r="Y41">
        <f>IF([@كود_التصنيف]="","",[@كود_التصنيف]&amp;"|"&amp;[@نوع_الحركة]&amp;"|"&amp;[@كود_معالجة_ضريبية])</f>
        <v/>
      </c>
      <c r="Z41">
        <f>IF([@مفتاح_المقابل]="",0,COUNTIF(tblContra[مفتاح_الحساب_المقابل],[@مفتاح_المقابل]))</f>
        <v/>
      </c>
      <c r="AA41">
        <f>IF([@مفتاح_المقابل]="","",IF([@عدد_تطابقات]=0,"لا تطابق في دليل المقابل",IF([@عدد_تطابقات]&gt;1,"تطابق مكرر في الدليل","")))</f>
        <v/>
      </c>
      <c r="AB41">
        <f>IF([@عدد_تطابقات]&lt;&gt;1,"",_xlfn._xlws.XLOOKUP([@مفتاح_المقابل],tblContra[مفتاح_الحساب_المقابل],tblContra[كود_تحليلي],""))</f>
        <v/>
      </c>
      <c r="AC41">
        <f>IF(AND([@خطأ_المقابل]="",[@الحساب]&lt;&gt;"",[@كود_التصنيف]&lt;&gt;"",[@الإجمالي]&gt;0),"نعم","لا")</f>
        <v/>
      </c>
    </row>
    <row r="42">
      <c r="F42">
        <f>IF([@يؤثر_في_الرصيد]&lt;&gt;"نعم",0,IF([@حالة_السجل]="معكوسة",0,IF([@نوع_الحركة]="قبض",[@الإجمالي],0)))</f>
        <v/>
      </c>
      <c r="G42">
        <f>IF([@يؤثر_في_الرصيد]&lt;&gt;"نعم",0,IF([@حالة_السجل]="معكوسة",0,IF([@نوع_الحركة]="صرف",[@الإجمالي],IF([@نوع_الحركة]="عكس",[@الإجمالي],0))))</f>
        <v/>
      </c>
      <c r="K4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2">
        <f>[@قبل_الضريبة]+[@مبلغ_الضريبة]</f>
        <v/>
      </c>
      <c r="S42">
        <f>IF([@كود_التصنيف]="","",_xlfn._xlws.XLOOKUP([@كود_التصنيف],tblCat[كود_التصنيف],tblCat[نوع_تدفق],""))</f>
        <v/>
      </c>
      <c r="Y42">
        <f>IF([@كود_التصنيف]="","",[@كود_التصنيف]&amp;"|"&amp;[@نوع_الحركة]&amp;"|"&amp;[@كود_معالجة_ضريبية])</f>
        <v/>
      </c>
      <c r="Z42">
        <f>IF([@مفتاح_المقابل]="",0,COUNTIF(tblContra[مفتاح_الحساب_المقابل],[@مفتاح_المقابل]))</f>
        <v/>
      </c>
      <c r="AA42">
        <f>IF([@مفتاح_المقابل]="","",IF([@عدد_تطابقات]=0,"لا تطابق في دليل المقابل",IF([@عدد_تطابقات]&gt;1,"تطابق مكرر في الدليل","")))</f>
        <v/>
      </c>
      <c r="AB42">
        <f>IF([@عدد_تطابقات]&lt;&gt;1,"",_xlfn._xlws.XLOOKUP([@مفتاح_المقابل],tblContra[مفتاح_الحساب_المقابل],tblContra[كود_تحليلي],""))</f>
        <v/>
      </c>
      <c r="AC42">
        <f>IF(AND([@خطأ_المقابل]="",[@الحساب]&lt;&gt;"",[@كود_التصنيف]&lt;&gt;"",[@الإجمالي]&gt;0),"نعم","لا")</f>
        <v/>
      </c>
    </row>
    <row r="43">
      <c r="F43">
        <f>IF([@يؤثر_في_الرصيد]&lt;&gt;"نعم",0,IF([@حالة_السجل]="معكوسة",0,IF([@نوع_الحركة]="قبض",[@الإجمالي],0)))</f>
        <v/>
      </c>
      <c r="G43">
        <f>IF([@يؤثر_في_الرصيد]&lt;&gt;"نعم",0,IF([@حالة_السجل]="معكوسة",0,IF([@نوع_الحركة]="صرف",[@الإجمالي],IF([@نوع_الحركة]="عكس",[@الإجمالي],0))))</f>
        <v/>
      </c>
      <c r="K4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3">
        <f>[@قبل_الضريبة]+[@مبلغ_الضريبة]</f>
        <v/>
      </c>
      <c r="S43">
        <f>IF([@كود_التصنيف]="","",_xlfn._xlws.XLOOKUP([@كود_التصنيف],tblCat[كود_التصنيف],tblCat[نوع_تدفق],""))</f>
        <v/>
      </c>
      <c r="Y43">
        <f>IF([@كود_التصنيف]="","",[@كود_التصنيف]&amp;"|"&amp;[@نوع_الحركة]&amp;"|"&amp;[@كود_معالجة_ضريبية])</f>
        <v/>
      </c>
      <c r="Z43">
        <f>IF([@مفتاح_المقابل]="",0,COUNTIF(tblContra[مفتاح_الحساب_المقابل],[@مفتاح_المقابل]))</f>
        <v/>
      </c>
      <c r="AA43">
        <f>IF([@مفتاح_المقابل]="","",IF([@عدد_تطابقات]=0,"لا تطابق في دليل المقابل",IF([@عدد_تطابقات]&gt;1,"تطابق مكرر في الدليل","")))</f>
        <v/>
      </c>
      <c r="AB43">
        <f>IF([@عدد_تطابقات]&lt;&gt;1,"",_xlfn._xlws.XLOOKUP([@مفتاح_المقابل],tblContra[مفتاح_الحساب_المقابل],tblContra[كود_تحليلي],""))</f>
        <v/>
      </c>
      <c r="AC43">
        <f>IF(AND([@خطأ_المقابل]="",[@الحساب]&lt;&gt;"",[@كود_التصنيف]&lt;&gt;"",[@الإجمالي]&gt;0),"نعم","لا")</f>
        <v/>
      </c>
    </row>
    <row r="44">
      <c r="F44">
        <f>IF([@يؤثر_في_الرصيد]&lt;&gt;"نعم",0,IF([@حالة_السجل]="معكوسة",0,IF([@نوع_الحركة]="قبض",[@الإجمالي],0)))</f>
        <v/>
      </c>
      <c r="G44">
        <f>IF([@يؤثر_في_الرصيد]&lt;&gt;"نعم",0,IF([@حالة_السجل]="معكوسة",0,IF([@نوع_الحركة]="صرف",[@الإجمالي],IF([@نوع_الحركة]="عكس",[@الإجمالي],0))))</f>
        <v/>
      </c>
      <c r="K4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4">
        <f>[@قبل_الضريبة]+[@مبلغ_الضريبة]</f>
        <v/>
      </c>
      <c r="S44">
        <f>IF([@كود_التصنيف]="","",_xlfn._xlws.XLOOKUP([@كود_التصنيف],tblCat[كود_التصنيف],tblCat[نوع_تدفق],""))</f>
        <v/>
      </c>
      <c r="Y44">
        <f>IF([@كود_التصنيف]="","",[@كود_التصنيف]&amp;"|"&amp;[@نوع_الحركة]&amp;"|"&amp;[@كود_معالجة_ضريبية])</f>
        <v/>
      </c>
      <c r="Z44">
        <f>IF([@مفتاح_المقابل]="",0,COUNTIF(tblContra[مفتاح_الحساب_المقابل],[@مفتاح_المقابل]))</f>
        <v/>
      </c>
      <c r="AA44">
        <f>IF([@مفتاح_المقابل]="","",IF([@عدد_تطابقات]=0,"لا تطابق في دليل المقابل",IF([@عدد_تطابقات]&gt;1,"تطابق مكرر في الدليل","")))</f>
        <v/>
      </c>
      <c r="AB44">
        <f>IF([@عدد_تطابقات]&lt;&gt;1,"",_xlfn._xlws.XLOOKUP([@مفتاح_المقابل],tblContra[مفتاح_الحساب_المقابل],tblContra[كود_تحليلي],""))</f>
        <v/>
      </c>
      <c r="AC44">
        <f>IF(AND([@خطأ_المقابل]="",[@الحساب]&lt;&gt;"",[@كود_التصنيف]&lt;&gt;"",[@الإجمالي]&gt;0),"نعم","لا")</f>
        <v/>
      </c>
    </row>
    <row r="45">
      <c r="F45">
        <f>IF([@يؤثر_في_الرصيد]&lt;&gt;"نعم",0,IF([@حالة_السجل]="معكوسة",0,IF([@نوع_الحركة]="قبض",[@الإجمالي],0)))</f>
        <v/>
      </c>
      <c r="G45">
        <f>IF([@يؤثر_في_الرصيد]&lt;&gt;"نعم",0,IF([@حالة_السجل]="معكوسة",0,IF([@نوع_الحركة]="صرف",[@الإجمالي],IF([@نوع_الحركة]="عكس",[@الإجمالي],0))))</f>
        <v/>
      </c>
      <c r="K4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5">
        <f>[@قبل_الضريبة]+[@مبلغ_الضريبة]</f>
        <v/>
      </c>
      <c r="S45">
        <f>IF([@كود_التصنيف]="","",_xlfn._xlws.XLOOKUP([@كود_التصنيف],tblCat[كود_التصنيف],tblCat[نوع_تدفق],""))</f>
        <v/>
      </c>
      <c r="Y45">
        <f>IF([@كود_التصنيف]="","",[@كود_التصنيف]&amp;"|"&amp;[@نوع_الحركة]&amp;"|"&amp;[@كود_معالجة_ضريبية])</f>
        <v/>
      </c>
      <c r="Z45">
        <f>IF([@مفتاح_المقابل]="",0,COUNTIF(tblContra[مفتاح_الحساب_المقابل],[@مفتاح_المقابل]))</f>
        <v/>
      </c>
      <c r="AA45">
        <f>IF([@مفتاح_المقابل]="","",IF([@عدد_تطابقات]=0,"لا تطابق في دليل المقابل",IF([@عدد_تطابقات]&gt;1,"تطابق مكرر في الدليل","")))</f>
        <v/>
      </c>
      <c r="AB45">
        <f>IF([@عدد_تطابقات]&lt;&gt;1,"",_xlfn._xlws.XLOOKUP([@مفتاح_المقابل],tblContra[مفتاح_الحساب_المقابل],tblContra[كود_تحليلي],""))</f>
        <v/>
      </c>
      <c r="AC45">
        <f>IF(AND([@خطأ_المقابل]="",[@الحساب]&lt;&gt;"",[@كود_التصنيف]&lt;&gt;"",[@الإجمالي]&gt;0),"نعم","لا")</f>
        <v/>
      </c>
    </row>
    <row r="46">
      <c r="F46">
        <f>IF([@يؤثر_في_الرصيد]&lt;&gt;"نعم",0,IF([@حالة_السجل]="معكوسة",0,IF([@نوع_الحركة]="قبض",[@الإجمالي],0)))</f>
        <v/>
      </c>
      <c r="G46">
        <f>IF([@يؤثر_في_الرصيد]&lt;&gt;"نعم",0,IF([@حالة_السجل]="معكوسة",0,IF([@نوع_الحركة]="صرف",[@الإجمالي],IF([@نوع_الحركة]="عكس",[@الإجمالي],0))))</f>
        <v/>
      </c>
      <c r="K4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6">
        <f>[@قبل_الضريبة]+[@مبلغ_الضريبة]</f>
        <v/>
      </c>
      <c r="S46">
        <f>IF([@كود_التصنيف]="","",_xlfn._xlws.XLOOKUP([@كود_التصنيف],tblCat[كود_التصنيف],tblCat[نوع_تدفق],""))</f>
        <v/>
      </c>
      <c r="Y46">
        <f>IF([@كود_التصنيف]="","",[@كود_التصنيف]&amp;"|"&amp;[@نوع_الحركة]&amp;"|"&amp;[@كود_معالجة_ضريبية])</f>
        <v/>
      </c>
      <c r="Z46">
        <f>IF([@مفتاح_المقابل]="",0,COUNTIF(tblContra[مفتاح_الحساب_المقابل],[@مفتاح_المقابل]))</f>
        <v/>
      </c>
      <c r="AA46">
        <f>IF([@مفتاح_المقابل]="","",IF([@عدد_تطابقات]=0,"لا تطابق في دليل المقابل",IF([@عدد_تطابقات]&gt;1,"تطابق مكرر في الدليل","")))</f>
        <v/>
      </c>
      <c r="AB46">
        <f>IF([@عدد_تطابقات]&lt;&gt;1,"",_xlfn._xlws.XLOOKUP([@مفتاح_المقابل],tblContra[مفتاح_الحساب_المقابل],tblContra[كود_تحليلي],""))</f>
        <v/>
      </c>
      <c r="AC46">
        <f>IF(AND([@خطأ_المقابل]="",[@الحساب]&lt;&gt;"",[@كود_التصنيف]&lt;&gt;"",[@الإجمالي]&gt;0),"نعم","لا")</f>
        <v/>
      </c>
    </row>
    <row r="47">
      <c r="F47">
        <f>IF([@يؤثر_في_الرصيد]&lt;&gt;"نعم",0,IF([@حالة_السجل]="معكوسة",0,IF([@نوع_الحركة]="قبض",[@الإجمالي],0)))</f>
        <v/>
      </c>
      <c r="G47">
        <f>IF([@يؤثر_في_الرصيد]&lt;&gt;"نعم",0,IF([@حالة_السجل]="معكوسة",0,IF([@نوع_الحركة]="صرف",[@الإجمالي],IF([@نوع_الحركة]="عكس",[@الإجمالي],0))))</f>
        <v/>
      </c>
      <c r="K4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7">
        <f>[@قبل_الضريبة]+[@مبلغ_الضريبة]</f>
        <v/>
      </c>
      <c r="S47">
        <f>IF([@كود_التصنيف]="","",_xlfn._xlws.XLOOKUP([@كود_التصنيف],tblCat[كود_التصنيف],tblCat[نوع_تدفق],""))</f>
        <v/>
      </c>
      <c r="Y47">
        <f>IF([@كود_التصنيف]="","",[@كود_التصنيف]&amp;"|"&amp;[@نوع_الحركة]&amp;"|"&amp;[@كود_معالجة_ضريبية])</f>
        <v/>
      </c>
      <c r="Z47">
        <f>IF([@مفتاح_المقابل]="",0,COUNTIF(tblContra[مفتاح_الحساب_المقابل],[@مفتاح_المقابل]))</f>
        <v/>
      </c>
      <c r="AA47">
        <f>IF([@مفتاح_المقابل]="","",IF([@عدد_تطابقات]=0,"لا تطابق في دليل المقابل",IF([@عدد_تطابقات]&gt;1,"تطابق مكرر في الدليل","")))</f>
        <v/>
      </c>
      <c r="AB47">
        <f>IF([@عدد_تطابقات]&lt;&gt;1,"",_xlfn._xlws.XLOOKUP([@مفتاح_المقابل],tblContra[مفتاح_الحساب_المقابل],tblContra[كود_تحليلي],""))</f>
        <v/>
      </c>
      <c r="AC47">
        <f>IF(AND([@خطأ_المقابل]="",[@الحساب]&lt;&gt;"",[@كود_التصنيف]&lt;&gt;"",[@الإجمالي]&gt;0),"نعم","لا")</f>
        <v/>
      </c>
    </row>
    <row r="48">
      <c r="F48">
        <f>IF([@يؤثر_في_الرصيد]&lt;&gt;"نعم",0,IF([@حالة_السجل]="معكوسة",0,IF([@نوع_الحركة]="قبض",[@الإجمالي],0)))</f>
        <v/>
      </c>
      <c r="G48">
        <f>IF([@يؤثر_في_الرصيد]&lt;&gt;"نعم",0,IF([@حالة_السجل]="معكوسة",0,IF([@نوع_الحركة]="صرف",[@الإجمالي],IF([@نوع_الحركة]="عكس",[@الإجمالي],0))))</f>
        <v/>
      </c>
      <c r="K4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8">
        <f>[@قبل_الضريبة]+[@مبلغ_الضريبة]</f>
        <v/>
      </c>
      <c r="S48">
        <f>IF([@كود_التصنيف]="","",_xlfn._xlws.XLOOKUP([@كود_التصنيف],tblCat[كود_التصنيف],tblCat[نوع_تدفق],""))</f>
        <v/>
      </c>
      <c r="Y48">
        <f>IF([@كود_التصنيف]="","",[@كود_التصنيف]&amp;"|"&amp;[@نوع_الحركة]&amp;"|"&amp;[@كود_معالجة_ضريبية])</f>
        <v/>
      </c>
      <c r="Z48">
        <f>IF([@مفتاح_المقابل]="",0,COUNTIF(tblContra[مفتاح_الحساب_المقابل],[@مفتاح_المقابل]))</f>
        <v/>
      </c>
      <c r="AA48">
        <f>IF([@مفتاح_المقابل]="","",IF([@عدد_تطابقات]=0,"لا تطابق في دليل المقابل",IF([@عدد_تطابقات]&gt;1,"تطابق مكرر في الدليل","")))</f>
        <v/>
      </c>
      <c r="AB48">
        <f>IF([@عدد_تطابقات]&lt;&gt;1,"",_xlfn._xlws.XLOOKUP([@مفتاح_المقابل],tblContra[مفتاح_الحساب_المقابل],tblContra[كود_تحليلي],""))</f>
        <v/>
      </c>
      <c r="AC48">
        <f>IF(AND([@خطأ_المقابل]="",[@الحساب]&lt;&gt;"",[@كود_التصنيف]&lt;&gt;"",[@الإجمالي]&gt;0),"نعم","لا")</f>
        <v/>
      </c>
    </row>
    <row r="49">
      <c r="F49">
        <f>IF([@يؤثر_في_الرصيد]&lt;&gt;"نعم",0,IF([@حالة_السجل]="معكوسة",0,IF([@نوع_الحركة]="قبض",[@الإجمالي],0)))</f>
        <v/>
      </c>
      <c r="G49">
        <f>IF([@يؤثر_في_الرصيد]&lt;&gt;"نعم",0,IF([@حالة_السجل]="معكوسة",0,IF([@نوع_الحركة]="صرف",[@الإجمالي],IF([@نوع_الحركة]="عكس",[@الإجمالي],0))))</f>
        <v/>
      </c>
      <c r="K4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49">
        <f>[@قبل_الضريبة]+[@مبلغ_الضريبة]</f>
        <v/>
      </c>
      <c r="S49">
        <f>IF([@كود_التصنيف]="","",_xlfn._xlws.XLOOKUP([@كود_التصنيف],tblCat[كود_التصنيف],tblCat[نوع_تدفق],""))</f>
        <v/>
      </c>
      <c r="Y49">
        <f>IF([@كود_التصنيف]="","",[@كود_التصنيف]&amp;"|"&amp;[@نوع_الحركة]&amp;"|"&amp;[@كود_معالجة_ضريبية])</f>
        <v/>
      </c>
      <c r="Z49">
        <f>IF([@مفتاح_المقابل]="",0,COUNTIF(tblContra[مفتاح_الحساب_المقابل],[@مفتاح_المقابل]))</f>
        <v/>
      </c>
      <c r="AA49">
        <f>IF([@مفتاح_المقابل]="","",IF([@عدد_تطابقات]=0,"لا تطابق في دليل المقابل",IF([@عدد_تطابقات]&gt;1,"تطابق مكرر في الدليل","")))</f>
        <v/>
      </c>
      <c r="AB49">
        <f>IF([@عدد_تطابقات]&lt;&gt;1,"",_xlfn._xlws.XLOOKUP([@مفتاح_المقابل],tblContra[مفتاح_الحساب_المقابل],tblContra[كود_تحليلي],""))</f>
        <v/>
      </c>
      <c r="AC49">
        <f>IF(AND([@خطأ_المقابل]="",[@الحساب]&lt;&gt;"",[@كود_التصنيف]&lt;&gt;"",[@الإجمالي]&gt;0),"نعم","لا")</f>
        <v/>
      </c>
    </row>
    <row r="50">
      <c r="F50">
        <f>IF([@يؤثر_في_الرصيد]&lt;&gt;"نعم",0,IF([@حالة_السجل]="معكوسة",0,IF([@نوع_الحركة]="قبض",[@الإجمالي],0)))</f>
        <v/>
      </c>
      <c r="G50">
        <f>IF([@يؤثر_في_الرصيد]&lt;&gt;"نعم",0,IF([@حالة_السجل]="معكوسة",0,IF([@نوع_الحركة]="صرف",[@الإجمالي],IF([@نوع_الحركة]="عكس",[@الإجمالي],0))))</f>
        <v/>
      </c>
      <c r="K5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0">
        <f>[@قبل_الضريبة]+[@مبلغ_الضريبة]</f>
        <v/>
      </c>
      <c r="S50">
        <f>IF([@كود_التصنيف]="","",_xlfn._xlws.XLOOKUP([@كود_التصنيف],tblCat[كود_التصنيف],tblCat[نوع_تدفق],""))</f>
        <v/>
      </c>
      <c r="Y50">
        <f>IF([@كود_التصنيف]="","",[@كود_التصنيف]&amp;"|"&amp;[@نوع_الحركة]&amp;"|"&amp;[@كود_معالجة_ضريبية])</f>
        <v/>
      </c>
      <c r="Z50">
        <f>IF([@مفتاح_المقابل]="",0,COUNTIF(tblContra[مفتاح_الحساب_المقابل],[@مفتاح_المقابل]))</f>
        <v/>
      </c>
      <c r="AA50">
        <f>IF([@مفتاح_المقابل]="","",IF([@عدد_تطابقات]=0,"لا تطابق في دليل المقابل",IF([@عدد_تطابقات]&gt;1,"تطابق مكرر في الدليل","")))</f>
        <v/>
      </c>
      <c r="AB50">
        <f>IF([@عدد_تطابقات]&lt;&gt;1,"",_xlfn._xlws.XLOOKUP([@مفتاح_المقابل],tblContra[مفتاح_الحساب_المقابل],tblContra[كود_تحليلي],""))</f>
        <v/>
      </c>
      <c r="AC50">
        <f>IF(AND([@خطأ_المقابل]="",[@الحساب]&lt;&gt;"",[@كود_التصنيف]&lt;&gt;"",[@الإجمالي]&gt;0),"نعم","لا")</f>
        <v/>
      </c>
    </row>
    <row r="51">
      <c r="F51">
        <f>IF([@يؤثر_في_الرصيد]&lt;&gt;"نعم",0,IF([@حالة_السجل]="معكوسة",0,IF([@نوع_الحركة]="قبض",[@الإجمالي],0)))</f>
        <v/>
      </c>
      <c r="G51">
        <f>IF([@يؤثر_في_الرصيد]&lt;&gt;"نعم",0,IF([@حالة_السجل]="معكوسة",0,IF([@نوع_الحركة]="صرف",[@الإجمالي],IF([@نوع_الحركة]="عكس",[@الإجمالي],0))))</f>
        <v/>
      </c>
      <c r="K5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1">
        <f>[@قبل_الضريبة]+[@مبلغ_الضريبة]</f>
        <v/>
      </c>
      <c r="S51">
        <f>IF([@كود_التصنيف]="","",_xlfn._xlws.XLOOKUP([@كود_التصنيف],tblCat[كود_التصنيف],tblCat[نوع_تدفق],""))</f>
        <v/>
      </c>
      <c r="Y51">
        <f>IF([@كود_التصنيف]="","",[@كود_التصنيف]&amp;"|"&amp;[@نوع_الحركة]&amp;"|"&amp;[@كود_معالجة_ضريبية])</f>
        <v/>
      </c>
      <c r="Z51">
        <f>IF([@مفتاح_المقابل]="",0,COUNTIF(tblContra[مفتاح_الحساب_المقابل],[@مفتاح_المقابل]))</f>
        <v/>
      </c>
      <c r="AA51">
        <f>IF([@مفتاح_المقابل]="","",IF([@عدد_تطابقات]=0,"لا تطابق في دليل المقابل",IF([@عدد_تطابقات]&gt;1,"تطابق مكرر في الدليل","")))</f>
        <v/>
      </c>
      <c r="AB51">
        <f>IF([@عدد_تطابقات]&lt;&gt;1,"",_xlfn._xlws.XLOOKUP([@مفتاح_المقابل],tblContra[مفتاح_الحساب_المقابل],tblContra[كود_تحليلي],""))</f>
        <v/>
      </c>
      <c r="AC51">
        <f>IF(AND([@خطأ_المقابل]="",[@الحساب]&lt;&gt;"",[@كود_التصنيف]&lt;&gt;"",[@الإجمالي]&gt;0),"نعم","لا")</f>
        <v/>
      </c>
    </row>
    <row r="52">
      <c r="F52">
        <f>IF([@يؤثر_في_الرصيد]&lt;&gt;"نعم",0,IF([@حالة_السجل]="معكوسة",0,IF([@نوع_الحركة]="قبض",[@الإجمالي],0)))</f>
        <v/>
      </c>
      <c r="G52">
        <f>IF([@يؤثر_في_الرصيد]&lt;&gt;"نعم",0,IF([@حالة_السجل]="معكوسة",0,IF([@نوع_الحركة]="صرف",[@الإجمالي],IF([@نوع_الحركة]="عكس",[@الإجمالي],0))))</f>
        <v/>
      </c>
      <c r="K5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2">
        <f>[@قبل_الضريبة]+[@مبلغ_الضريبة]</f>
        <v/>
      </c>
      <c r="S52">
        <f>IF([@كود_التصنيف]="","",_xlfn._xlws.XLOOKUP([@كود_التصنيف],tblCat[كود_التصنيف],tblCat[نوع_تدفق],""))</f>
        <v/>
      </c>
      <c r="Y52">
        <f>IF([@كود_التصنيف]="","",[@كود_التصنيف]&amp;"|"&amp;[@نوع_الحركة]&amp;"|"&amp;[@كود_معالجة_ضريبية])</f>
        <v/>
      </c>
      <c r="Z52">
        <f>IF([@مفتاح_المقابل]="",0,COUNTIF(tblContra[مفتاح_الحساب_المقابل],[@مفتاح_المقابل]))</f>
        <v/>
      </c>
      <c r="AA52">
        <f>IF([@مفتاح_المقابل]="","",IF([@عدد_تطابقات]=0,"لا تطابق في دليل المقابل",IF([@عدد_تطابقات]&gt;1,"تطابق مكرر في الدليل","")))</f>
        <v/>
      </c>
      <c r="AB52">
        <f>IF([@عدد_تطابقات]&lt;&gt;1,"",_xlfn._xlws.XLOOKUP([@مفتاح_المقابل],tblContra[مفتاح_الحساب_المقابل],tblContra[كود_تحليلي],""))</f>
        <v/>
      </c>
      <c r="AC52">
        <f>IF(AND([@خطأ_المقابل]="",[@الحساب]&lt;&gt;"",[@كود_التصنيف]&lt;&gt;"",[@الإجمالي]&gt;0),"نعم","لا")</f>
        <v/>
      </c>
    </row>
    <row r="53">
      <c r="F53">
        <f>IF([@يؤثر_في_الرصيد]&lt;&gt;"نعم",0,IF([@حالة_السجل]="معكوسة",0,IF([@نوع_الحركة]="قبض",[@الإجمالي],0)))</f>
        <v/>
      </c>
      <c r="G53">
        <f>IF([@يؤثر_في_الرصيد]&lt;&gt;"نعم",0,IF([@حالة_السجل]="معكوسة",0,IF([@نوع_الحركة]="صرف",[@الإجمالي],IF([@نوع_الحركة]="عكس",[@الإجمالي],0))))</f>
        <v/>
      </c>
      <c r="K5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3">
        <f>[@قبل_الضريبة]+[@مبلغ_الضريبة]</f>
        <v/>
      </c>
      <c r="S53">
        <f>IF([@كود_التصنيف]="","",_xlfn._xlws.XLOOKUP([@كود_التصنيف],tblCat[كود_التصنيف],tblCat[نوع_تدفق],""))</f>
        <v/>
      </c>
      <c r="Y53">
        <f>IF([@كود_التصنيف]="","",[@كود_التصنيف]&amp;"|"&amp;[@نوع_الحركة]&amp;"|"&amp;[@كود_معالجة_ضريبية])</f>
        <v/>
      </c>
      <c r="Z53">
        <f>IF([@مفتاح_المقابل]="",0,COUNTIF(tblContra[مفتاح_الحساب_المقابل],[@مفتاح_المقابل]))</f>
        <v/>
      </c>
      <c r="AA53">
        <f>IF([@مفتاح_المقابل]="","",IF([@عدد_تطابقات]=0,"لا تطابق في دليل المقابل",IF([@عدد_تطابقات]&gt;1,"تطابق مكرر في الدليل","")))</f>
        <v/>
      </c>
      <c r="AB53">
        <f>IF([@عدد_تطابقات]&lt;&gt;1,"",_xlfn._xlws.XLOOKUP([@مفتاح_المقابل],tblContra[مفتاح_الحساب_المقابل],tblContra[كود_تحليلي],""))</f>
        <v/>
      </c>
      <c r="AC53">
        <f>IF(AND([@خطأ_المقابل]="",[@الحساب]&lt;&gt;"",[@كود_التصنيف]&lt;&gt;"",[@الإجمالي]&gt;0),"نعم","لا")</f>
        <v/>
      </c>
    </row>
    <row r="54">
      <c r="F54">
        <f>IF([@يؤثر_في_الرصيد]&lt;&gt;"نعم",0,IF([@حالة_السجل]="معكوسة",0,IF([@نوع_الحركة]="قبض",[@الإجمالي],0)))</f>
        <v/>
      </c>
      <c r="G54">
        <f>IF([@يؤثر_في_الرصيد]&lt;&gt;"نعم",0,IF([@حالة_السجل]="معكوسة",0,IF([@نوع_الحركة]="صرف",[@الإجمالي],IF([@نوع_الحركة]="عكس",[@الإجمالي],0))))</f>
        <v/>
      </c>
      <c r="K5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4">
        <f>[@قبل_الضريبة]+[@مبلغ_الضريبة]</f>
        <v/>
      </c>
      <c r="S54">
        <f>IF([@كود_التصنيف]="","",_xlfn._xlws.XLOOKUP([@كود_التصنيف],tblCat[كود_التصنيف],tblCat[نوع_تدفق],""))</f>
        <v/>
      </c>
      <c r="Y54">
        <f>IF([@كود_التصنيف]="","",[@كود_التصنيف]&amp;"|"&amp;[@نوع_الحركة]&amp;"|"&amp;[@كود_معالجة_ضريبية])</f>
        <v/>
      </c>
      <c r="Z54">
        <f>IF([@مفتاح_المقابل]="",0,COUNTIF(tblContra[مفتاح_الحساب_المقابل],[@مفتاح_المقابل]))</f>
        <v/>
      </c>
      <c r="AA54">
        <f>IF([@مفتاح_المقابل]="","",IF([@عدد_تطابقات]=0,"لا تطابق في دليل المقابل",IF([@عدد_تطابقات]&gt;1,"تطابق مكرر في الدليل","")))</f>
        <v/>
      </c>
      <c r="AB54">
        <f>IF([@عدد_تطابقات]&lt;&gt;1,"",_xlfn._xlws.XLOOKUP([@مفتاح_المقابل],tblContra[مفتاح_الحساب_المقابل],tblContra[كود_تحليلي],""))</f>
        <v/>
      </c>
      <c r="AC54">
        <f>IF(AND([@خطأ_المقابل]="",[@الحساب]&lt;&gt;"",[@كود_التصنيف]&lt;&gt;"",[@الإجمالي]&gt;0),"نعم","لا")</f>
        <v/>
      </c>
    </row>
    <row r="55">
      <c r="F55">
        <f>IF([@يؤثر_في_الرصيد]&lt;&gt;"نعم",0,IF([@حالة_السجل]="معكوسة",0,IF([@نوع_الحركة]="قبض",[@الإجمالي],0)))</f>
        <v/>
      </c>
      <c r="G55">
        <f>IF([@يؤثر_في_الرصيد]&lt;&gt;"نعم",0,IF([@حالة_السجل]="معكوسة",0,IF([@نوع_الحركة]="صرف",[@الإجمالي],IF([@نوع_الحركة]="عكس",[@الإجمالي],0))))</f>
        <v/>
      </c>
      <c r="K5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5">
        <f>[@قبل_الضريبة]+[@مبلغ_الضريبة]</f>
        <v/>
      </c>
      <c r="S55">
        <f>IF([@كود_التصنيف]="","",_xlfn._xlws.XLOOKUP([@كود_التصنيف],tblCat[كود_التصنيف],tblCat[نوع_تدفق],""))</f>
        <v/>
      </c>
      <c r="Y55">
        <f>IF([@كود_التصنيف]="","",[@كود_التصنيف]&amp;"|"&amp;[@نوع_الحركة]&amp;"|"&amp;[@كود_معالجة_ضريبية])</f>
        <v/>
      </c>
      <c r="Z55">
        <f>IF([@مفتاح_المقابل]="",0,COUNTIF(tblContra[مفتاح_الحساب_المقابل],[@مفتاح_المقابل]))</f>
        <v/>
      </c>
      <c r="AA55">
        <f>IF([@مفتاح_المقابل]="","",IF([@عدد_تطابقات]=0,"لا تطابق في دليل المقابل",IF([@عدد_تطابقات]&gt;1,"تطابق مكرر في الدليل","")))</f>
        <v/>
      </c>
      <c r="AB55">
        <f>IF([@عدد_تطابقات]&lt;&gt;1,"",_xlfn._xlws.XLOOKUP([@مفتاح_المقابل],tblContra[مفتاح_الحساب_المقابل],tblContra[كود_تحليلي],""))</f>
        <v/>
      </c>
      <c r="AC55">
        <f>IF(AND([@خطأ_المقابل]="",[@الحساب]&lt;&gt;"",[@كود_التصنيف]&lt;&gt;"",[@الإجمالي]&gt;0),"نعم","لا")</f>
        <v/>
      </c>
    </row>
    <row r="56">
      <c r="F56">
        <f>IF([@يؤثر_في_الرصيد]&lt;&gt;"نعم",0,IF([@حالة_السجل]="معكوسة",0,IF([@نوع_الحركة]="قبض",[@الإجمالي],0)))</f>
        <v/>
      </c>
      <c r="G56">
        <f>IF([@يؤثر_في_الرصيد]&lt;&gt;"نعم",0,IF([@حالة_السجل]="معكوسة",0,IF([@نوع_الحركة]="صرف",[@الإجمالي],IF([@نوع_الحركة]="عكس",[@الإجمالي],0))))</f>
        <v/>
      </c>
      <c r="K5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6">
        <f>[@قبل_الضريبة]+[@مبلغ_الضريبة]</f>
        <v/>
      </c>
      <c r="S56">
        <f>IF([@كود_التصنيف]="","",_xlfn._xlws.XLOOKUP([@كود_التصنيف],tblCat[كود_التصنيف],tblCat[نوع_تدفق],""))</f>
        <v/>
      </c>
      <c r="Y56">
        <f>IF([@كود_التصنيف]="","",[@كود_التصنيف]&amp;"|"&amp;[@نوع_الحركة]&amp;"|"&amp;[@كود_معالجة_ضريبية])</f>
        <v/>
      </c>
      <c r="Z56">
        <f>IF([@مفتاح_المقابل]="",0,COUNTIF(tblContra[مفتاح_الحساب_المقابل],[@مفتاح_المقابل]))</f>
        <v/>
      </c>
      <c r="AA56">
        <f>IF([@مفتاح_المقابل]="","",IF([@عدد_تطابقات]=0,"لا تطابق في دليل المقابل",IF([@عدد_تطابقات]&gt;1,"تطابق مكرر في الدليل","")))</f>
        <v/>
      </c>
      <c r="AB56">
        <f>IF([@عدد_تطابقات]&lt;&gt;1,"",_xlfn._xlws.XLOOKUP([@مفتاح_المقابل],tblContra[مفتاح_الحساب_المقابل],tblContra[كود_تحليلي],""))</f>
        <v/>
      </c>
      <c r="AC56">
        <f>IF(AND([@خطأ_المقابل]="",[@الحساب]&lt;&gt;"",[@كود_التصنيف]&lt;&gt;"",[@الإجمالي]&gt;0),"نعم","لا")</f>
        <v/>
      </c>
    </row>
    <row r="57">
      <c r="F57">
        <f>IF([@يؤثر_في_الرصيد]&lt;&gt;"نعم",0,IF([@حالة_السجل]="معكوسة",0,IF([@نوع_الحركة]="قبض",[@الإجمالي],0)))</f>
        <v/>
      </c>
      <c r="G57">
        <f>IF([@يؤثر_في_الرصيد]&lt;&gt;"نعم",0,IF([@حالة_السجل]="معكوسة",0,IF([@نوع_الحركة]="صرف",[@الإجمالي],IF([@نوع_الحركة]="عكس",[@الإجمالي],0))))</f>
        <v/>
      </c>
      <c r="K5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7">
        <f>[@قبل_الضريبة]+[@مبلغ_الضريبة]</f>
        <v/>
      </c>
      <c r="S57">
        <f>IF([@كود_التصنيف]="","",_xlfn._xlws.XLOOKUP([@كود_التصنيف],tblCat[كود_التصنيف],tblCat[نوع_تدفق],""))</f>
        <v/>
      </c>
      <c r="Y57">
        <f>IF([@كود_التصنيف]="","",[@كود_التصنيف]&amp;"|"&amp;[@نوع_الحركة]&amp;"|"&amp;[@كود_معالجة_ضريبية])</f>
        <v/>
      </c>
      <c r="Z57">
        <f>IF([@مفتاح_المقابل]="",0,COUNTIF(tblContra[مفتاح_الحساب_المقابل],[@مفتاح_المقابل]))</f>
        <v/>
      </c>
      <c r="AA57">
        <f>IF([@مفتاح_المقابل]="","",IF([@عدد_تطابقات]=0,"لا تطابق في دليل المقابل",IF([@عدد_تطابقات]&gt;1,"تطابق مكرر في الدليل","")))</f>
        <v/>
      </c>
      <c r="AB57">
        <f>IF([@عدد_تطابقات]&lt;&gt;1,"",_xlfn._xlws.XLOOKUP([@مفتاح_المقابل],tblContra[مفتاح_الحساب_المقابل],tblContra[كود_تحليلي],""))</f>
        <v/>
      </c>
      <c r="AC57">
        <f>IF(AND([@خطأ_المقابل]="",[@الحساب]&lt;&gt;"",[@كود_التصنيف]&lt;&gt;"",[@الإجمالي]&gt;0),"نعم","لا")</f>
        <v/>
      </c>
    </row>
    <row r="58">
      <c r="F58">
        <f>IF([@يؤثر_في_الرصيد]&lt;&gt;"نعم",0,IF([@حالة_السجل]="معكوسة",0,IF([@نوع_الحركة]="قبض",[@الإجمالي],0)))</f>
        <v/>
      </c>
      <c r="G58">
        <f>IF([@يؤثر_في_الرصيد]&lt;&gt;"نعم",0,IF([@حالة_السجل]="معكوسة",0,IF([@نوع_الحركة]="صرف",[@الإجمالي],IF([@نوع_الحركة]="عكس",[@الإجمالي],0))))</f>
        <v/>
      </c>
      <c r="K5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8">
        <f>[@قبل_الضريبة]+[@مبلغ_الضريبة]</f>
        <v/>
      </c>
      <c r="S58">
        <f>IF([@كود_التصنيف]="","",_xlfn._xlws.XLOOKUP([@كود_التصنيف],tblCat[كود_التصنيف],tblCat[نوع_تدفق],""))</f>
        <v/>
      </c>
      <c r="Y58">
        <f>IF([@كود_التصنيف]="","",[@كود_التصنيف]&amp;"|"&amp;[@نوع_الحركة]&amp;"|"&amp;[@كود_معالجة_ضريبية])</f>
        <v/>
      </c>
      <c r="Z58">
        <f>IF([@مفتاح_المقابل]="",0,COUNTIF(tblContra[مفتاح_الحساب_المقابل],[@مفتاح_المقابل]))</f>
        <v/>
      </c>
      <c r="AA58">
        <f>IF([@مفتاح_المقابل]="","",IF([@عدد_تطابقات]=0,"لا تطابق في دليل المقابل",IF([@عدد_تطابقات]&gt;1,"تطابق مكرر في الدليل","")))</f>
        <v/>
      </c>
      <c r="AB58">
        <f>IF([@عدد_تطابقات]&lt;&gt;1,"",_xlfn._xlws.XLOOKUP([@مفتاح_المقابل],tblContra[مفتاح_الحساب_المقابل],tblContra[كود_تحليلي],""))</f>
        <v/>
      </c>
      <c r="AC58">
        <f>IF(AND([@خطأ_المقابل]="",[@الحساب]&lt;&gt;"",[@كود_التصنيف]&lt;&gt;"",[@الإجمالي]&gt;0),"نعم","لا")</f>
        <v/>
      </c>
    </row>
    <row r="59">
      <c r="F59">
        <f>IF([@يؤثر_في_الرصيد]&lt;&gt;"نعم",0,IF([@حالة_السجل]="معكوسة",0,IF([@نوع_الحركة]="قبض",[@الإجمالي],0)))</f>
        <v/>
      </c>
      <c r="G59">
        <f>IF([@يؤثر_في_الرصيد]&lt;&gt;"نعم",0,IF([@حالة_السجل]="معكوسة",0,IF([@نوع_الحركة]="صرف",[@الإجمالي],IF([@نوع_الحركة]="عكس",[@الإجمالي],0))))</f>
        <v/>
      </c>
      <c r="K5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59">
        <f>[@قبل_الضريبة]+[@مبلغ_الضريبة]</f>
        <v/>
      </c>
      <c r="S59">
        <f>IF([@كود_التصنيف]="","",_xlfn._xlws.XLOOKUP([@كود_التصنيف],tblCat[كود_التصنيف],tblCat[نوع_تدفق],""))</f>
        <v/>
      </c>
      <c r="Y59">
        <f>IF([@كود_التصنيف]="","",[@كود_التصنيف]&amp;"|"&amp;[@نوع_الحركة]&amp;"|"&amp;[@كود_معالجة_ضريبية])</f>
        <v/>
      </c>
      <c r="Z59">
        <f>IF([@مفتاح_المقابل]="",0,COUNTIF(tblContra[مفتاح_الحساب_المقابل],[@مفتاح_المقابل]))</f>
        <v/>
      </c>
      <c r="AA59">
        <f>IF([@مفتاح_المقابل]="","",IF([@عدد_تطابقات]=0,"لا تطابق في دليل المقابل",IF([@عدد_تطابقات]&gt;1,"تطابق مكرر في الدليل","")))</f>
        <v/>
      </c>
      <c r="AB59">
        <f>IF([@عدد_تطابقات]&lt;&gt;1,"",_xlfn._xlws.XLOOKUP([@مفتاح_المقابل],tblContra[مفتاح_الحساب_المقابل],tblContra[كود_تحليلي],""))</f>
        <v/>
      </c>
      <c r="AC59">
        <f>IF(AND([@خطأ_المقابل]="",[@الحساب]&lt;&gt;"",[@كود_التصنيف]&lt;&gt;"",[@الإجمالي]&gt;0),"نعم","لا")</f>
        <v/>
      </c>
    </row>
    <row r="60">
      <c r="F60">
        <f>IF([@يؤثر_في_الرصيد]&lt;&gt;"نعم",0,IF([@حالة_السجل]="معكوسة",0,IF([@نوع_الحركة]="قبض",[@الإجمالي],0)))</f>
        <v/>
      </c>
      <c r="G60">
        <f>IF([@يؤثر_في_الرصيد]&lt;&gt;"نعم",0,IF([@حالة_السجل]="معكوسة",0,IF([@نوع_الحركة]="صرف",[@الإجمالي],IF([@نوع_الحركة]="عكس",[@الإجمالي],0))))</f>
        <v/>
      </c>
      <c r="K6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0">
        <f>[@قبل_الضريبة]+[@مبلغ_الضريبة]</f>
        <v/>
      </c>
      <c r="S60">
        <f>IF([@كود_التصنيف]="","",_xlfn._xlws.XLOOKUP([@كود_التصنيف],tblCat[كود_التصنيف],tblCat[نوع_تدفق],""))</f>
        <v/>
      </c>
      <c r="Y60">
        <f>IF([@كود_التصنيف]="","",[@كود_التصنيف]&amp;"|"&amp;[@نوع_الحركة]&amp;"|"&amp;[@كود_معالجة_ضريبية])</f>
        <v/>
      </c>
      <c r="Z60">
        <f>IF([@مفتاح_المقابل]="",0,COUNTIF(tblContra[مفتاح_الحساب_المقابل],[@مفتاح_المقابل]))</f>
        <v/>
      </c>
      <c r="AA60">
        <f>IF([@مفتاح_المقابل]="","",IF([@عدد_تطابقات]=0,"لا تطابق في دليل المقابل",IF([@عدد_تطابقات]&gt;1,"تطابق مكرر في الدليل","")))</f>
        <v/>
      </c>
      <c r="AB60">
        <f>IF([@عدد_تطابقات]&lt;&gt;1,"",_xlfn._xlws.XLOOKUP([@مفتاح_المقابل],tblContra[مفتاح_الحساب_المقابل],tblContra[كود_تحليلي],""))</f>
        <v/>
      </c>
      <c r="AC60">
        <f>IF(AND([@خطأ_المقابل]="",[@الحساب]&lt;&gt;"",[@كود_التصنيف]&lt;&gt;"",[@الإجمالي]&gt;0),"نعم","لا")</f>
        <v/>
      </c>
    </row>
    <row r="61">
      <c r="F61">
        <f>IF([@يؤثر_في_الرصيد]&lt;&gt;"نعم",0,IF([@حالة_السجل]="معكوسة",0,IF([@نوع_الحركة]="قبض",[@الإجمالي],0)))</f>
        <v/>
      </c>
      <c r="G61">
        <f>IF([@يؤثر_في_الرصيد]&lt;&gt;"نعم",0,IF([@حالة_السجل]="معكوسة",0,IF([@نوع_الحركة]="صرف",[@الإجمالي],IF([@نوع_الحركة]="عكس",[@الإجمالي],0))))</f>
        <v/>
      </c>
      <c r="K6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1">
        <f>[@قبل_الضريبة]+[@مبلغ_الضريبة]</f>
        <v/>
      </c>
      <c r="S61">
        <f>IF([@كود_التصنيف]="","",_xlfn._xlws.XLOOKUP([@كود_التصنيف],tblCat[كود_التصنيف],tblCat[نوع_تدفق],""))</f>
        <v/>
      </c>
      <c r="Y61">
        <f>IF([@كود_التصنيف]="","",[@كود_التصنيف]&amp;"|"&amp;[@نوع_الحركة]&amp;"|"&amp;[@كود_معالجة_ضريبية])</f>
        <v/>
      </c>
      <c r="Z61">
        <f>IF([@مفتاح_المقابل]="",0,COUNTIF(tblContra[مفتاح_الحساب_المقابل],[@مفتاح_المقابل]))</f>
        <v/>
      </c>
      <c r="AA61">
        <f>IF([@مفتاح_المقابل]="","",IF([@عدد_تطابقات]=0,"لا تطابق في دليل المقابل",IF([@عدد_تطابقات]&gt;1,"تطابق مكرر في الدليل","")))</f>
        <v/>
      </c>
      <c r="AB61">
        <f>IF([@عدد_تطابقات]&lt;&gt;1,"",_xlfn._xlws.XLOOKUP([@مفتاح_المقابل],tblContra[مفتاح_الحساب_المقابل],tblContra[كود_تحليلي],""))</f>
        <v/>
      </c>
      <c r="AC61">
        <f>IF(AND([@خطأ_المقابل]="",[@الحساب]&lt;&gt;"",[@كود_التصنيف]&lt;&gt;"",[@الإجمالي]&gt;0),"نعم","لا")</f>
        <v/>
      </c>
    </row>
    <row r="62">
      <c r="F62">
        <f>IF([@يؤثر_في_الرصيد]&lt;&gt;"نعم",0,IF([@حالة_السجل]="معكوسة",0,IF([@نوع_الحركة]="قبض",[@الإجمالي],0)))</f>
        <v/>
      </c>
      <c r="G62">
        <f>IF([@يؤثر_في_الرصيد]&lt;&gt;"نعم",0,IF([@حالة_السجل]="معكوسة",0,IF([@نوع_الحركة]="صرف",[@الإجمالي],IF([@نوع_الحركة]="عكس",[@الإجمالي],0))))</f>
        <v/>
      </c>
      <c r="K6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2">
        <f>[@قبل_الضريبة]+[@مبلغ_الضريبة]</f>
        <v/>
      </c>
      <c r="S62">
        <f>IF([@كود_التصنيف]="","",_xlfn._xlws.XLOOKUP([@كود_التصنيف],tblCat[كود_التصنيف],tblCat[نوع_تدفق],""))</f>
        <v/>
      </c>
      <c r="Y62">
        <f>IF([@كود_التصنيف]="","",[@كود_التصنيف]&amp;"|"&amp;[@نوع_الحركة]&amp;"|"&amp;[@كود_معالجة_ضريبية])</f>
        <v/>
      </c>
      <c r="Z62">
        <f>IF([@مفتاح_المقابل]="",0,COUNTIF(tblContra[مفتاح_الحساب_المقابل],[@مفتاح_المقابل]))</f>
        <v/>
      </c>
      <c r="AA62">
        <f>IF([@مفتاح_المقابل]="","",IF([@عدد_تطابقات]=0,"لا تطابق في دليل المقابل",IF([@عدد_تطابقات]&gt;1,"تطابق مكرر في الدليل","")))</f>
        <v/>
      </c>
      <c r="AB62">
        <f>IF([@عدد_تطابقات]&lt;&gt;1,"",_xlfn._xlws.XLOOKUP([@مفتاح_المقابل],tblContra[مفتاح_الحساب_المقابل],tblContra[كود_تحليلي],""))</f>
        <v/>
      </c>
      <c r="AC62">
        <f>IF(AND([@خطأ_المقابل]="",[@الحساب]&lt;&gt;"",[@كود_التصنيف]&lt;&gt;"",[@الإجمالي]&gt;0),"نعم","لا")</f>
        <v/>
      </c>
    </row>
    <row r="63">
      <c r="F63">
        <f>IF([@يؤثر_في_الرصيد]&lt;&gt;"نعم",0,IF([@حالة_السجل]="معكوسة",0,IF([@نوع_الحركة]="قبض",[@الإجمالي],0)))</f>
        <v/>
      </c>
      <c r="G63">
        <f>IF([@يؤثر_في_الرصيد]&lt;&gt;"نعم",0,IF([@حالة_السجل]="معكوسة",0,IF([@نوع_الحركة]="صرف",[@الإجمالي],IF([@نوع_الحركة]="عكس",[@الإجمالي],0))))</f>
        <v/>
      </c>
      <c r="K6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3">
        <f>[@قبل_الضريبة]+[@مبلغ_الضريبة]</f>
        <v/>
      </c>
      <c r="S63">
        <f>IF([@كود_التصنيف]="","",_xlfn._xlws.XLOOKUP([@كود_التصنيف],tblCat[كود_التصنيف],tblCat[نوع_تدفق],""))</f>
        <v/>
      </c>
      <c r="Y63">
        <f>IF([@كود_التصنيف]="","",[@كود_التصنيف]&amp;"|"&amp;[@نوع_الحركة]&amp;"|"&amp;[@كود_معالجة_ضريبية])</f>
        <v/>
      </c>
      <c r="Z63">
        <f>IF([@مفتاح_المقابل]="",0,COUNTIF(tblContra[مفتاح_الحساب_المقابل],[@مفتاح_المقابل]))</f>
        <v/>
      </c>
      <c r="AA63">
        <f>IF([@مفتاح_المقابل]="","",IF([@عدد_تطابقات]=0,"لا تطابق في دليل المقابل",IF([@عدد_تطابقات]&gt;1,"تطابق مكرر في الدليل","")))</f>
        <v/>
      </c>
      <c r="AB63">
        <f>IF([@عدد_تطابقات]&lt;&gt;1,"",_xlfn._xlws.XLOOKUP([@مفتاح_المقابل],tblContra[مفتاح_الحساب_المقابل],tblContra[كود_تحليلي],""))</f>
        <v/>
      </c>
      <c r="AC63">
        <f>IF(AND([@خطأ_المقابل]="",[@الحساب]&lt;&gt;"",[@كود_التصنيف]&lt;&gt;"",[@الإجمالي]&gt;0),"نعم","لا")</f>
        <v/>
      </c>
    </row>
    <row r="64">
      <c r="F64">
        <f>IF([@يؤثر_في_الرصيد]&lt;&gt;"نعم",0,IF([@حالة_السجل]="معكوسة",0,IF([@نوع_الحركة]="قبض",[@الإجمالي],0)))</f>
        <v/>
      </c>
      <c r="G64">
        <f>IF([@يؤثر_في_الرصيد]&lt;&gt;"نعم",0,IF([@حالة_السجل]="معكوسة",0,IF([@نوع_الحركة]="صرف",[@الإجمالي],IF([@نوع_الحركة]="عكس",[@الإجمالي],0))))</f>
        <v/>
      </c>
      <c r="K6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4">
        <f>[@قبل_الضريبة]+[@مبلغ_الضريبة]</f>
        <v/>
      </c>
      <c r="S64">
        <f>IF([@كود_التصنيف]="","",_xlfn._xlws.XLOOKUP([@كود_التصنيف],tblCat[كود_التصنيف],tblCat[نوع_تدفق],""))</f>
        <v/>
      </c>
      <c r="Y64">
        <f>IF([@كود_التصنيف]="","",[@كود_التصنيف]&amp;"|"&amp;[@نوع_الحركة]&amp;"|"&amp;[@كود_معالجة_ضريبية])</f>
        <v/>
      </c>
      <c r="Z64">
        <f>IF([@مفتاح_المقابل]="",0,COUNTIF(tblContra[مفتاح_الحساب_المقابل],[@مفتاح_المقابل]))</f>
        <v/>
      </c>
      <c r="AA64">
        <f>IF([@مفتاح_المقابل]="","",IF([@عدد_تطابقات]=0,"لا تطابق في دليل المقابل",IF([@عدد_تطابقات]&gt;1,"تطابق مكرر في الدليل","")))</f>
        <v/>
      </c>
      <c r="AB64">
        <f>IF([@عدد_تطابقات]&lt;&gt;1,"",_xlfn._xlws.XLOOKUP([@مفتاح_المقابل],tblContra[مفتاح_الحساب_المقابل],tblContra[كود_تحليلي],""))</f>
        <v/>
      </c>
      <c r="AC64">
        <f>IF(AND([@خطأ_المقابل]="",[@الحساب]&lt;&gt;"",[@كود_التصنيف]&lt;&gt;"",[@الإجمالي]&gt;0),"نعم","لا")</f>
        <v/>
      </c>
    </row>
    <row r="65">
      <c r="F65">
        <f>IF([@يؤثر_في_الرصيد]&lt;&gt;"نعم",0,IF([@حالة_السجل]="معكوسة",0,IF([@نوع_الحركة]="قبض",[@الإجمالي],0)))</f>
        <v/>
      </c>
      <c r="G65">
        <f>IF([@يؤثر_في_الرصيد]&lt;&gt;"نعم",0,IF([@حالة_السجل]="معكوسة",0,IF([@نوع_الحركة]="صرف",[@الإجمالي],IF([@نوع_الحركة]="عكس",[@الإجمالي],0))))</f>
        <v/>
      </c>
      <c r="K6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5">
        <f>[@قبل_الضريبة]+[@مبلغ_الضريبة]</f>
        <v/>
      </c>
      <c r="S65">
        <f>IF([@كود_التصنيف]="","",_xlfn._xlws.XLOOKUP([@كود_التصنيف],tblCat[كود_التصنيف],tblCat[نوع_تدفق],""))</f>
        <v/>
      </c>
      <c r="Y65">
        <f>IF([@كود_التصنيف]="","",[@كود_التصنيف]&amp;"|"&amp;[@نوع_الحركة]&amp;"|"&amp;[@كود_معالجة_ضريبية])</f>
        <v/>
      </c>
      <c r="Z65">
        <f>IF([@مفتاح_المقابل]="",0,COUNTIF(tblContra[مفتاح_الحساب_المقابل],[@مفتاح_المقابل]))</f>
        <v/>
      </c>
      <c r="AA65">
        <f>IF([@مفتاح_المقابل]="","",IF([@عدد_تطابقات]=0,"لا تطابق في دليل المقابل",IF([@عدد_تطابقات]&gt;1,"تطابق مكرر في الدليل","")))</f>
        <v/>
      </c>
      <c r="AB65">
        <f>IF([@عدد_تطابقات]&lt;&gt;1,"",_xlfn._xlws.XLOOKUP([@مفتاح_المقابل],tblContra[مفتاح_الحساب_المقابل],tblContra[كود_تحليلي],""))</f>
        <v/>
      </c>
      <c r="AC65">
        <f>IF(AND([@خطأ_المقابل]="",[@الحساب]&lt;&gt;"",[@كود_التصنيف]&lt;&gt;"",[@الإجمالي]&gt;0),"نعم","لا")</f>
        <v/>
      </c>
    </row>
    <row r="66">
      <c r="F66">
        <f>IF([@يؤثر_في_الرصيد]&lt;&gt;"نعم",0,IF([@حالة_السجل]="معكوسة",0,IF([@نوع_الحركة]="قبض",[@الإجمالي],0)))</f>
        <v/>
      </c>
      <c r="G66">
        <f>IF([@يؤثر_في_الرصيد]&lt;&gt;"نعم",0,IF([@حالة_السجل]="معكوسة",0,IF([@نوع_الحركة]="صرف",[@الإجمالي],IF([@نوع_الحركة]="عكس",[@الإجمالي],0))))</f>
        <v/>
      </c>
      <c r="K6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6">
        <f>[@قبل_الضريبة]+[@مبلغ_الضريبة]</f>
        <v/>
      </c>
      <c r="S66">
        <f>IF([@كود_التصنيف]="","",_xlfn._xlws.XLOOKUP([@كود_التصنيف],tblCat[كود_التصنيف],tblCat[نوع_تدفق],""))</f>
        <v/>
      </c>
      <c r="Y66">
        <f>IF([@كود_التصنيف]="","",[@كود_التصنيف]&amp;"|"&amp;[@نوع_الحركة]&amp;"|"&amp;[@كود_معالجة_ضريبية])</f>
        <v/>
      </c>
      <c r="Z66">
        <f>IF([@مفتاح_المقابل]="",0,COUNTIF(tblContra[مفتاح_الحساب_المقابل],[@مفتاح_المقابل]))</f>
        <v/>
      </c>
      <c r="AA66">
        <f>IF([@مفتاح_المقابل]="","",IF([@عدد_تطابقات]=0,"لا تطابق في دليل المقابل",IF([@عدد_تطابقات]&gt;1,"تطابق مكرر في الدليل","")))</f>
        <v/>
      </c>
      <c r="AB66">
        <f>IF([@عدد_تطابقات]&lt;&gt;1,"",_xlfn._xlws.XLOOKUP([@مفتاح_المقابل],tblContra[مفتاح_الحساب_المقابل],tblContra[كود_تحليلي],""))</f>
        <v/>
      </c>
      <c r="AC66">
        <f>IF(AND([@خطأ_المقابل]="",[@الحساب]&lt;&gt;"",[@كود_التصنيف]&lt;&gt;"",[@الإجمالي]&gt;0),"نعم","لا")</f>
        <v/>
      </c>
    </row>
    <row r="67">
      <c r="F67">
        <f>IF([@يؤثر_في_الرصيد]&lt;&gt;"نعم",0,IF([@حالة_السجل]="معكوسة",0,IF([@نوع_الحركة]="قبض",[@الإجمالي],0)))</f>
        <v/>
      </c>
      <c r="G67">
        <f>IF([@يؤثر_في_الرصيد]&lt;&gt;"نعم",0,IF([@حالة_السجل]="معكوسة",0,IF([@نوع_الحركة]="صرف",[@الإجمالي],IF([@نوع_الحركة]="عكس",[@الإجمالي],0))))</f>
        <v/>
      </c>
      <c r="K6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7">
        <f>[@قبل_الضريبة]+[@مبلغ_الضريبة]</f>
        <v/>
      </c>
      <c r="S67">
        <f>IF([@كود_التصنيف]="","",_xlfn._xlws.XLOOKUP([@كود_التصنيف],tblCat[كود_التصنيف],tblCat[نوع_تدفق],""))</f>
        <v/>
      </c>
      <c r="Y67">
        <f>IF([@كود_التصنيف]="","",[@كود_التصنيف]&amp;"|"&amp;[@نوع_الحركة]&amp;"|"&amp;[@كود_معالجة_ضريبية])</f>
        <v/>
      </c>
      <c r="Z67">
        <f>IF([@مفتاح_المقابل]="",0,COUNTIF(tblContra[مفتاح_الحساب_المقابل],[@مفتاح_المقابل]))</f>
        <v/>
      </c>
      <c r="AA67">
        <f>IF([@مفتاح_المقابل]="","",IF([@عدد_تطابقات]=0,"لا تطابق في دليل المقابل",IF([@عدد_تطابقات]&gt;1,"تطابق مكرر في الدليل","")))</f>
        <v/>
      </c>
      <c r="AB67">
        <f>IF([@عدد_تطابقات]&lt;&gt;1,"",_xlfn._xlws.XLOOKUP([@مفتاح_المقابل],tblContra[مفتاح_الحساب_المقابل],tblContra[كود_تحليلي],""))</f>
        <v/>
      </c>
      <c r="AC67">
        <f>IF(AND([@خطأ_المقابل]="",[@الحساب]&lt;&gt;"",[@كود_التصنيف]&lt;&gt;"",[@الإجمالي]&gt;0),"نعم","لا")</f>
        <v/>
      </c>
    </row>
    <row r="68">
      <c r="F68">
        <f>IF([@يؤثر_في_الرصيد]&lt;&gt;"نعم",0,IF([@حالة_السجل]="معكوسة",0,IF([@نوع_الحركة]="قبض",[@الإجمالي],0)))</f>
        <v/>
      </c>
      <c r="G68">
        <f>IF([@يؤثر_في_الرصيد]&lt;&gt;"نعم",0,IF([@حالة_السجل]="معكوسة",0,IF([@نوع_الحركة]="صرف",[@الإجمالي],IF([@نوع_الحركة]="عكس",[@الإجمالي],0))))</f>
        <v/>
      </c>
      <c r="K6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8">
        <f>[@قبل_الضريبة]+[@مبلغ_الضريبة]</f>
        <v/>
      </c>
      <c r="S68">
        <f>IF([@كود_التصنيف]="","",_xlfn._xlws.XLOOKUP([@كود_التصنيف],tblCat[كود_التصنيف],tblCat[نوع_تدفق],""))</f>
        <v/>
      </c>
      <c r="Y68">
        <f>IF([@كود_التصنيف]="","",[@كود_التصنيف]&amp;"|"&amp;[@نوع_الحركة]&amp;"|"&amp;[@كود_معالجة_ضريبية])</f>
        <v/>
      </c>
      <c r="Z68">
        <f>IF([@مفتاح_المقابل]="",0,COUNTIF(tblContra[مفتاح_الحساب_المقابل],[@مفتاح_المقابل]))</f>
        <v/>
      </c>
      <c r="AA68">
        <f>IF([@مفتاح_المقابل]="","",IF([@عدد_تطابقات]=0,"لا تطابق في دليل المقابل",IF([@عدد_تطابقات]&gt;1,"تطابق مكرر في الدليل","")))</f>
        <v/>
      </c>
      <c r="AB68">
        <f>IF([@عدد_تطابقات]&lt;&gt;1,"",_xlfn._xlws.XLOOKUP([@مفتاح_المقابل],tblContra[مفتاح_الحساب_المقابل],tblContra[كود_تحليلي],""))</f>
        <v/>
      </c>
      <c r="AC68">
        <f>IF(AND([@خطأ_المقابل]="",[@الحساب]&lt;&gt;"",[@كود_التصنيف]&lt;&gt;"",[@الإجمالي]&gt;0),"نعم","لا")</f>
        <v/>
      </c>
    </row>
    <row r="69">
      <c r="F69">
        <f>IF([@يؤثر_في_الرصيد]&lt;&gt;"نعم",0,IF([@حالة_السجل]="معكوسة",0,IF([@نوع_الحركة]="قبض",[@الإجمالي],0)))</f>
        <v/>
      </c>
      <c r="G69">
        <f>IF([@يؤثر_في_الرصيد]&lt;&gt;"نعم",0,IF([@حالة_السجل]="معكوسة",0,IF([@نوع_الحركة]="صرف",[@الإجمالي],IF([@نوع_الحركة]="عكس",[@الإجمالي],0))))</f>
        <v/>
      </c>
      <c r="K6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69">
        <f>[@قبل_الضريبة]+[@مبلغ_الضريبة]</f>
        <v/>
      </c>
      <c r="S69">
        <f>IF([@كود_التصنيف]="","",_xlfn._xlws.XLOOKUP([@كود_التصنيف],tblCat[كود_التصنيف],tblCat[نوع_تدفق],""))</f>
        <v/>
      </c>
      <c r="Y69">
        <f>IF([@كود_التصنيف]="","",[@كود_التصنيف]&amp;"|"&amp;[@نوع_الحركة]&amp;"|"&amp;[@كود_معالجة_ضريبية])</f>
        <v/>
      </c>
      <c r="Z69">
        <f>IF([@مفتاح_المقابل]="",0,COUNTIF(tblContra[مفتاح_الحساب_المقابل],[@مفتاح_المقابل]))</f>
        <v/>
      </c>
      <c r="AA69">
        <f>IF([@مفتاح_المقابل]="","",IF([@عدد_تطابقات]=0,"لا تطابق في دليل المقابل",IF([@عدد_تطابقات]&gt;1,"تطابق مكرر في الدليل","")))</f>
        <v/>
      </c>
      <c r="AB69">
        <f>IF([@عدد_تطابقات]&lt;&gt;1,"",_xlfn._xlws.XLOOKUP([@مفتاح_المقابل],tblContra[مفتاح_الحساب_المقابل],tblContra[كود_تحليلي],""))</f>
        <v/>
      </c>
      <c r="AC69">
        <f>IF(AND([@خطأ_المقابل]="",[@الحساب]&lt;&gt;"",[@كود_التصنيف]&lt;&gt;"",[@الإجمالي]&gt;0),"نعم","لا")</f>
        <v/>
      </c>
    </row>
    <row r="70">
      <c r="F70">
        <f>IF([@يؤثر_في_الرصيد]&lt;&gt;"نعم",0,IF([@حالة_السجل]="معكوسة",0,IF([@نوع_الحركة]="قبض",[@الإجمالي],0)))</f>
        <v/>
      </c>
      <c r="G70">
        <f>IF([@يؤثر_في_الرصيد]&lt;&gt;"نعم",0,IF([@حالة_السجل]="معكوسة",0,IF([@نوع_الحركة]="صرف",[@الإجمالي],IF([@نوع_الحركة]="عكس",[@الإجمالي],0))))</f>
        <v/>
      </c>
      <c r="K7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0">
        <f>[@قبل_الضريبة]+[@مبلغ_الضريبة]</f>
        <v/>
      </c>
      <c r="S70">
        <f>IF([@كود_التصنيف]="","",_xlfn._xlws.XLOOKUP([@كود_التصنيف],tblCat[كود_التصنيف],tblCat[نوع_تدفق],""))</f>
        <v/>
      </c>
      <c r="Y70">
        <f>IF([@كود_التصنيف]="","",[@كود_التصنيف]&amp;"|"&amp;[@نوع_الحركة]&amp;"|"&amp;[@كود_معالجة_ضريبية])</f>
        <v/>
      </c>
      <c r="Z70">
        <f>IF([@مفتاح_المقابل]="",0,COUNTIF(tblContra[مفتاح_الحساب_المقابل],[@مفتاح_المقابل]))</f>
        <v/>
      </c>
      <c r="AA70">
        <f>IF([@مفتاح_المقابل]="","",IF([@عدد_تطابقات]=0,"لا تطابق في دليل المقابل",IF([@عدد_تطابقات]&gt;1,"تطابق مكرر في الدليل","")))</f>
        <v/>
      </c>
      <c r="AB70">
        <f>IF([@عدد_تطابقات]&lt;&gt;1,"",_xlfn._xlws.XLOOKUP([@مفتاح_المقابل],tblContra[مفتاح_الحساب_المقابل],tblContra[كود_تحليلي],""))</f>
        <v/>
      </c>
      <c r="AC70">
        <f>IF(AND([@خطأ_المقابل]="",[@الحساب]&lt;&gt;"",[@كود_التصنيف]&lt;&gt;"",[@الإجمالي]&gt;0),"نعم","لا")</f>
        <v/>
      </c>
    </row>
    <row r="71">
      <c r="F71">
        <f>IF([@يؤثر_في_الرصيد]&lt;&gt;"نعم",0,IF([@حالة_السجل]="معكوسة",0,IF([@نوع_الحركة]="قبض",[@الإجمالي],0)))</f>
        <v/>
      </c>
      <c r="G71">
        <f>IF([@يؤثر_في_الرصيد]&lt;&gt;"نعم",0,IF([@حالة_السجل]="معكوسة",0,IF([@نوع_الحركة]="صرف",[@الإجمالي],IF([@نوع_الحركة]="عكس",[@الإجمالي],0))))</f>
        <v/>
      </c>
      <c r="K7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1">
        <f>[@قبل_الضريبة]+[@مبلغ_الضريبة]</f>
        <v/>
      </c>
      <c r="S71">
        <f>IF([@كود_التصنيف]="","",_xlfn._xlws.XLOOKUP([@كود_التصنيف],tblCat[كود_التصنيف],tblCat[نوع_تدفق],""))</f>
        <v/>
      </c>
      <c r="Y71">
        <f>IF([@كود_التصنيف]="","",[@كود_التصنيف]&amp;"|"&amp;[@نوع_الحركة]&amp;"|"&amp;[@كود_معالجة_ضريبية])</f>
        <v/>
      </c>
      <c r="Z71">
        <f>IF([@مفتاح_المقابل]="",0,COUNTIF(tblContra[مفتاح_الحساب_المقابل],[@مفتاح_المقابل]))</f>
        <v/>
      </c>
      <c r="AA71">
        <f>IF([@مفتاح_المقابل]="","",IF([@عدد_تطابقات]=0,"لا تطابق في دليل المقابل",IF([@عدد_تطابقات]&gt;1,"تطابق مكرر في الدليل","")))</f>
        <v/>
      </c>
      <c r="AB71">
        <f>IF([@عدد_تطابقات]&lt;&gt;1,"",_xlfn._xlws.XLOOKUP([@مفتاح_المقابل],tblContra[مفتاح_الحساب_المقابل],tblContra[كود_تحليلي],""))</f>
        <v/>
      </c>
      <c r="AC71">
        <f>IF(AND([@خطأ_المقابل]="",[@الحساب]&lt;&gt;"",[@كود_التصنيف]&lt;&gt;"",[@الإجمالي]&gt;0),"نعم","لا")</f>
        <v/>
      </c>
    </row>
    <row r="72">
      <c r="F72">
        <f>IF([@يؤثر_في_الرصيد]&lt;&gt;"نعم",0,IF([@حالة_السجل]="معكوسة",0,IF([@نوع_الحركة]="قبض",[@الإجمالي],0)))</f>
        <v/>
      </c>
      <c r="G72">
        <f>IF([@يؤثر_في_الرصيد]&lt;&gt;"نعم",0,IF([@حالة_السجل]="معكوسة",0,IF([@نوع_الحركة]="صرف",[@الإجمالي],IF([@نوع_الحركة]="عكس",[@الإجمالي],0))))</f>
        <v/>
      </c>
      <c r="K7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2">
        <f>[@قبل_الضريبة]+[@مبلغ_الضريبة]</f>
        <v/>
      </c>
      <c r="S72">
        <f>IF([@كود_التصنيف]="","",_xlfn._xlws.XLOOKUP([@كود_التصنيف],tblCat[كود_التصنيف],tblCat[نوع_تدفق],""))</f>
        <v/>
      </c>
      <c r="Y72">
        <f>IF([@كود_التصنيف]="","",[@كود_التصنيف]&amp;"|"&amp;[@نوع_الحركة]&amp;"|"&amp;[@كود_معالجة_ضريبية])</f>
        <v/>
      </c>
      <c r="Z72">
        <f>IF([@مفتاح_المقابل]="",0,COUNTIF(tblContra[مفتاح_الحساب_المقابل],[@مفتاح_المقابل]))</f>
        <v/>
      </c>
      <c r="AA72">
        <f>IF([@مفتاح_المقابل]="","",IF([@عدد_تطابقات]=0,"لا تطابق في دليل المقابل",IF([@عدد_تطابقات]&gt;1,"تطابق مكرر في الدليل","")))</f>
        <v/>
      </c>
      <c r="AB72">
        <f>IF([@عدد_تطابقات]&lt;&gt;1,"",_xlfn._xlws.XLOOKUP([@مفتاح_المقابل],tblContra[مفتاح_الحساب_المقابل],tblContra[كود_تحليلي],""))</f>
        <v/>
      </c>
      <c r="AC72">
        <f>IF(AND([@خطأ_المقابل]="",[@الحساب]&lt;&gt;"",[@كود_التصنيف]&lt;&gt;"",[@الإجمالي]&gt;0),"نعم","لا")</f>
        <v/>
      </c>
    </row>
    <row r="73">
      <c r="F73">
        <f>IF([@يؤثر_في_الرصيد]&lt;&gt;"نعم",0,IF([@حالة_السجل]="معكوسة",0,IF([@نوع_الحركة]="قبض",[@الإجمالي],0)))</f>
        <v/>
      </c>
      <c r="G73">
        <f>IF([@يؤثر_في_الرصيد]&lt;&gt;"نعم",0,IF([@حالة_السجل]="معكوسة",0,IF([@نوع_الحركة]="صرف",[@الإجمالي],IF([@نوع_الحركة]="عكس",[@الإجمالي],0))))</f>
        <v/>
      </c>
      <c r="K7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3">
        <f>[@قبل_الضريبة]+[@مبلغ_الضريبة]</f>
        <v/>
      </c>
      <c r="S73">
        <f>IF([@كود_التصنيف]="","",_xlfn._xlws.XLOOKUP([@كود_التصنيف],tblCat[كود_التصنيف],tblCat[نوع_تدفق],""))</f>
        <v/>
      </c>
      <c r="Y73">
        <f>IF([@كود_التصنيف]="","",[@كود_التصنيف]&amp;"|"&amp;[@نوع_الحركة]&amp;"|"&amp;[@كود_معالجة_ضريبية])</f>
        <v/>
      </c>
      <c r="Z73">
        <f>IF([@مفتاح_المقابل]="",0,COUNTIF(tblContra[مفتاح_الحساب_المقابل],[@مفتاح_المقابل]))</f>
        <v/>
      </c>
      <c r="AA73">
        <f>IF([@مفتاح_المقابل]="","",IF([@عدد_تطابقات]=0,"لا تطابق في دليل المقابل",IF([@عدد_تطابقات]&gt;1,"تطابق مكرر في الدليل","")))</f>
        <v/>
      </c>
      <c r="AB73">
        <f>IF([@عدد_تطابقات]&lt;&gt;1,"",_xlfn._xlws.XLOOKUP([@مفتاح_المقابل],tblContra[مفتاح_الحساب_المقابل],tblContra[كود_تحليلي],""))</f>
        <v/>
      </c>
      <c r="AC73">
        <f>IF(AND([@خطأ_المقابل]="",[@الحساب]&lt;&gt;"",[@كود_التصنيف]&lt;&gt;"",[@الإجمالي]&gt;0),"نعم","لا")</f>
        <v/>
      </c>
    </row>
    <row r="74">
      <c r="F74">
        <f>IF([@يؤثر_في_الرصيد]&lt;&gt;"نعم",0,IF([@حالة_السجل]="معكوسة",0,IF([@نوع_الحركة]="قبض",[@الإجمالي],0)))</f>
        <v/>
      </c>
      <c r="G74">
        <f>IF([@يؤثر_في_الرصيد]&lt;&gt;"نعم",0,IF([@حالة_السجل]="معكوسة",0,IF([@نوع_الحركة]="صرف",[@الإجمالي],IF([@نوع_الحركة]="عكس",[@الإجمالي],0))))</f>
        <v/>
      </c>
      <c r="K7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4">
        <f>[@قبل_الضريبة]+[@مبلغ_الضريبة]</f>
        <v/>
      </c>
      <c r="S74">
        <f>IF([@كود_التصنيف]="","",_xlfn._xlws.XLOOKUP([@كود_التصنيف],tblCat[كود_التصنيف],tblCat[نوع_تدفق],""))</f>
        <v/>
      </c>
      <c r="Y74">
        <f>IF([@كود_التصنيف]="","",[@كود_التصنيف]&amp;"|"&amp;[@نوع_الحركة]&amp;"|"&amp;[@كود_معالجة_ضريبية])</f>
        <v/>
      </c>
      <c r="Z74">
        <f>IF([@مفتاح_المقابل]="",0,COUNTIF(tblContra[مفتاح_الحساب_المقابل],[@مفتاح_المقابل]))</f>
        <v/>
      </c>
      <c r="AA74">
        <f>IF([@مفتاح_المقابل]="","",IF([@عدد_تطابقات]=0,"لا تطابق في دليل المقابل",IF([@عدد_تطابقات]&gt;1,"تطابق مكرر في الدليل","")))</f>
        <v/>
      </c>
      <c r="AB74">
        <f>IF([@عدد_تطابقات]&lt;&gt;1,"",_xlfn._xlws.XLOOKUP([@مفتاح_المقابل],tblContra[مفتاح_الحساب_المقابل],tblContra[كود_تحليلي],""))</f>
        <v/>
      </c>
      <c r="AC74">
        <f>IF(AND([@خطأ_المقابل]="",[@الحساب]&lt;&gt;"",[@كود_التصنيف]&lt;&gt;"",[@الإجمالي]&gt;0),"نعم","لا")</f>
        <v/>
      </c>
    </row>
    <row r="75">
      <c r="F75">
        <f>IF([@يؤثر_في_الرصيد]&lt;&gt;"نعم",0,IF([@حالة_السجل]="معكوسة",0,IF([@نوع_الحركة]="قبض",[@الإجمالي],0)))</f>
        <v/>
      </c>
      <c r="G75">
        <f>IF([@يؤثر_في_الرصيد]&lt;&gt;"نعم",0,IF([@حالة_السجل]="معكوسة",0,IF([@نوع_الحركة]="صرف",[@الإجمالي],IF([@نوع_الحركة]="عكس",[@الإجمالي],0))))</f>
        <v/>
      </c>
      <c r="K7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5">
        <f>[@قبل_الضريبة]+[@مبلغ_الضريبة]</f>
        <v/>
      </c>
      <c r="S75">
        <f>IF([@كود_التصنيف]="","",_xlfn._xlws.XLOOKUP([@كود_التصنيف],tblCat[كود_التصنيف],tblCat[نوع_تدفق],""))</f>
        <v/>
      </c>
      <c r="Y75">
        <f>IF([@كود_التصنيف]="","",[@كود_التصنيف]&amp;"|"&amp;[@نوع_الحركة]&amp;"|"&amp;[@كود_معالجة_ضريبية])</f>
        <v/>
      </c>
      <c r="Z75">
        <f>IF([@مفتاح_المقابل]="",0,COUNTIF(tblContra[مفتاح_الحساب_المقابل],[@مفتاح_المقابل]))</f>
        <v/>
      </c>
      <c r="AA75">
        <f>IF([@مفتاح_المقابل]="","",IF([@عدد_تطابقات]=0,"لا تطابق في دليل المقابل",IF([@عدد_تطابقات]&gt;1,"تطابق مكرر في الدليل","")))</f>
        <v/>
      </c>
      <c r="AB75">
        <f>IF([@عدد_تطابقات]&lt;&gt;1,"",_xlfn._xlws.XLOOKUP([@مفتاح_المقابل],tblContra[مفتاح_الحساب_المقابل],tblContra[كود_تحليلي],""))</f>
        <v/>
      </c>
      <c r="AC75">
        <f>IF(AND([@خطأ_المقابل]="",[@الحساب]&lt;&gt;"",[@كود_التصنيف]&lt;&gt;"",[@الإجمالي]&gt;0),"نعم","لا")</f>
        <v/>
      </c>
    </row>
    <row r="76">
      <c r="F76">
        <f>IF([@يؤثر_في_الرصيد]&lt;&gt;"نعم",0,IF([@حالة_السجل]="معكوسة",0,IF([@نوع_الحركة]="قبض",[@الإجمالي],0)))</f>
        <v/>
      </c>
      <c r="G76">
        <f>IF([@يؤثر_في_الرصيد]&lt;&gt;"نعم",0,IF([@حالة_السجل]="معكوسة",0,IF([@نوع_الحركة]="صرف",[@الإجمالي],IF([@نوع_الحركة]="عكس",[@الإجمالي],0))))</f>
        <v/>
      </c>
      <c r="K7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6">
        <f>[@قبل_الضريبة]+[@مبلغ_الضريبة]</f>
        <v/>
      </c>
      <c r="S76">
        <f>IF([@كود_التصنيف]="","",_xlfn._xlws.XLOOKUP([@كود_التصنيف],tblCat[كود_التصنيف],tblCat[نوع_تدفق],""))</f>
        <v/>
      </c>
      <c r="Y76">
        <f>IF([@كود_التصنيف]="","",[@كود_التصنيف]&amp;"|"&amp;[@نوع_الحركة]&amp;"|"&amp;[@كود_معالجة_ضريبية])</f>
        <v/>
      </c>
      <c r="Z76">
        <f>IF([@مفتاح_المقابل]="",0,COUNTIF(tblContra[مفتاح_الحساب_المقابل],[@مفتاح_المقابل]))</f>
        <v/>
      </c>
      <c r="AA76">
        <f>IF([@مفتاح_المقابل]="","",IF([@عدد_تطابقات]=0,"لا تطابق في دليل المقابل",IF([@عدد_تطابقات]&gt;1,"تطابق مكرر في الدليل","")))</f>
        <v/>
      </c>
      <c r="AB76">
        <f>IF([@عدد_تطابقات]&lt;&gt;1,"",_xlfn._xlws.XLOOKUP([@مفتاح_المقابل],tblContra[مفتاح_الحساب_المقابل],tblContra[كود_تحليلي],""))</f>
        <v/>
      </c>
      <c r="AC76">
        <f>IF(AND([@خطأ_المقابل]="",[@الحساب]&lt;&gt;"",[@كود_التصنيف]&lt;&gt;"",[@الإجمالي]&gt;0),"نعم","لا")</f>
        <v/>
      </c>
    </row>
    <row r="77">
      <c r="F77">
        <f>IF([@يؤثر_في_الرصيد]&lt;&gt;"نعم",0,IF([@حالة_السجل]="معكوسة",0,IF([@نوع_الحركة]="قبض",[@الإجمالي],0)))</f>
        <v/>
      </c>
      <c r="G77">
        <f>IF([@يؤثر_في_الرصيد]&lt;&gt;"نعم",0,IF([@حالة_السجل]="معكوسة",0,IF([@نوع_الحركة]="صرف",[@الإجمالي],IF([@نوع_الحركة]="عكس",[@الإجمالي],0))))</f>
        <v/>
      </c>
      <c r="K7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7">
        <f>[@قبل_الضريبة]+[@مبلغ_الضريبة]</f>
        <v/>
      </c>
      <c r="S77">
        <f>IF([@كود_التصنيف]="","",_xlfn._xlws.XLOOKUP([@كود_التصنيف],tblCat[كود_التصنيف],tblCat[نوع_تدفق],""))</f>
        <v/>
      </c>
      <c r="Y77">
        <f>IF([@كود_التصنيف]="","",[@كود_التصنيف]&amp;"|"&amp;[@نوع_الحركة]&amp;"|"&amp;[@كود_معالجة_ضريبية])</f>
        <v/>
      </c>
      <c r="Z77">
        <f>IF([@مفتاح_المقابل]="",0,COUNTIF(tblContra[مفتاح_الحساب_المقابل],[@مفتاح_المقابل]))</f>
        <v/>
      </c>
      <c r="AA77">
        <f>IF([@مفتاح_المقابل]="","",IF([@عدد_تطابقات]=0,"لا تطابق في دليل المقابل",IF([@عدد_تطابقات]&gt;1,"تطابق مكرر في الدليل","")))</f>
        <v/>
      </c>
      <c r="AB77">
        <f>IF([@عدد_تطابقات]&lt;&gt;1,"",_xlfn._xlws.XLOOKUP([@مفتاح_المقابل],tblContra[مفتاح_الحساب_المقابل],tblContra[كود_تحليلي],""))</f>
        <v/>
      </c>
      <c r="AC77">
        <f>IF(AND([@خطأ_المقابل]="",[@الحساب]&lt;&gt;"",[@كود_التصنيف]&lt;&gt;"",[@الإجمالي]&gt;0),"نعم","لا")</f>
        <v/>
      </c>
    </row>
    <row r="78">
      <c r="F78">
        <f>IF([@يؤثر_في_الرصيد]&lt;&gt;"نعم",0,IF([@حالة_السجل]="معكوسة",0,IF([@نوع_الحركة]="قبض",[@الإجمالي],0)))</f>
        <v/>
      </c>
      <c r="G78">
        <f>IF([@يؤثر_في_الرصيد]&lt;&gt;"نعم",0,IF([@حالة_السجل]="معكوسة",0,IF([@نوع_الحركة]="صرف",[@الإجمالي],IF([@نوع_الحركة]="عكس",[@الإجمالي],0))))</f>
        <v/>
      </c>
      <c r="K7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8">
        <f>[@قبل_الضريبة]+[@مبلغ_الضريبة]</f>
        <v/>
      </c>
      <c r="S78">
        <f>IF([@كود_التصنيف]="","",_xlfn._xlws.XLOOKUP([@كود_التصنيف],tblCat[كود_التصنيف],tblCat[نوع_تدفق],""))</f>
        <v/>
      </c>
      <c r="Y78">
        <f>IF([@كود_التصنيف]="","",[@كود_التصنيف]&amp;"|"&amp;[@نوع_الحركة]&amp;"|"&amp;[@كود_معالجة_ضريبية])</f>
        <v/>
      </c>
      <c r="Z78">
        <f>IF([@مفتاح_المقابل]="",0,COUNTIF(tblContra[مفتاح_الحساب_المقابل],[@مفتاح_المقابل]))</f>
        <v/>
      </c>
      <c r="AA78">
        <f>IF([@مفتاح_المقابل]="","",IF([@عدد_تطابقات]=0,"لا تطابق في دليل المقابل",IF([@عدد_تطابقات]&gt;1,"تطابق مكرر في الدليل","")))</f>
        <v/>
      </c>
      <c r="AB78">
        <f>IF([@عدد_تطابقات]&lt;&gt;1,"",_xlfn._xlws.XLOOKUP([@مفتاح_المقابل],tblContra[مفتاح_الحساب_المقابل],tblContra[كود_تحليلي],""))</f>
        <v/>
      </c>
      <c r="AC78">
        <f>IF(AND([@خطأ_المقابل]="",[@الحساب]&lt;&gt;"",[@كود_التصنيف]&lt;&gt;"",[@الإجمالي]&gt;0),"نعم","لا")</f>
        <v/>
      </c>
    </row>
    <row r="79">
      <c r="F79">
        <f>IF([@يؤثر_في_الرصيد]&lt;&gt;"نعم",0,IF([@حالة_السجل]="معكوسة",0,IF([@نوع_الحركة]="قبض",[@الإجمالي],0)))</f>
        <v/>
      </c>
      <c r="G79">
        <f>IF([@يؤثر_في_الرصيد]&lt;&gt;"نعم",0,IF([@حالة_السجل]="معكوسة",0,IF([@نوع_الحركة]="صرف",[@الإجمالي],IF([@نوع_الحركة]="عكس",[@الإجمالي],0))))</f>
        <v/>
      </c>
      <c r="K7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79">
        <f>[@قبل_الضريبة]+[@مبلغ_الضريبة]</f>
        <v/>
      </c>
      <c r="S79">
        <f>IF([@كود_التصنيف]="","",_xlfn._xlws.XLOOKUP([@كود_التصنيف],tblCat[كود_التصنيف],tblCat[نوع_تدفق],""))</f>
        <v/>
      </c>
      <c r="Y79">
        <f>IF([@كود_التصنيف]="","",[@كود_التصنيف]&amp;"|"&amp;[@نوع_الحركة]&amp;"|"&amp;[@كود_معالجة_ضريبية])</f>
        <v/>
      </c>
      <c r="Z79">
        <f>IF([@مفتاح_المقابل]="",0,COUNTIF(tblContra[مفتاح_الحساب_المقابل],[@مفتاح_المقابل]))</f>
        <v/>
      </c>
      <c r="AA79">
        <f>IF([@مفتاح_المقابل]="","",IF([@عدد_تطابقات]=0,"لا تطابق في دليل المقابل",IF([@عدد_تطابقات]&gt;1,"تطابق مكرر في الدليل","")))</f>
        <v/>
      </c>
      <c r="AB79">
        <f>IF([@عدد_تطابقات]&lt;&gt;1,"",_xlfn._xlws.XLOOKUP([@مفتاح_المقابل],tblContra[مفتاح_الحساب_المقابل],tblContra[كود_تحليلي],""))</f>
        <v/>
      </c>
      <c r="AC79">
        <f>IF(AND([@خطأ_المقابل]="",[@الحساب]&lt;&gt;"",[@كود_التصنيف]&lt;&gt;"",[@الإجمالي]&gt;0),"نعم","لا")</f>
        <v/>
      </c>
    </row>
    <row r="80">
      <c r="F80">
        <f>IF([@يؤثر_في_الرصيد]&lt;&gt;"نعم",0,IF([@حالة_السجل]="معكوسة",0,IF([@نوع_الحركة]="قبض",[@الإجمالي],0)))</f>
        <v/>
      </c>
      <c r="G80">
        <f>IF([@يؤثر_في_الرصيد]&lt;&gt;"نعم",0,IF([@حالة_السجل]="معكوسة",0,IF([@نوع_الحركة]="صرف",[@الإجمالي],IF([@نوع_الحركة]="عكس",[@الإجمالي],0))))</f>
        <v/>
      </c>
      <c r="K8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0">
        <f>[@قبل_الضريبة]+[@مبلغ_الضريبة]</f>
        <v/>
      </c>
      <c r="S80">
        <f>IF([@كود_التصنيف]="","",_xlfn._xlws.XLOOKUP([@كود_التصنيف],tblCat[كود_التصنيف],tblCat[نوع_تدفق],""))</f>
        <v/>
      </c>
      <c r="Y80">
        <f>IF([@كود_التصنيف]="","",[@كود_التصنيف]&amp;"|"&amp;[@نوع_الحركة]&amp;"|"&amp;[@كود_معالجة_ضريبية])</f>
        <v/>
      </c>
      <c r="Z80">
        <f>IF([@مفتاح_المقابل]="",0,COUNTIF(tblContra[مفتاح_الحساب_المقابل],[@مفتاح_المقابل]))</f>
        <v/>
      </c>
      <c r="AA80">
        <f>IF([@مفتاح_المقابل]="","",IF([@عدد_تطابقات]=0,"لا تطابق في دليل المقابل",IF([@عدد_تطابقات]&gt;1,"تطابق مكرر في الدليل","")))</f>
        <v/>
      </c>
      <c r="AB80">
        <f>IF([@عدد_تطابقات]&lt;&gt;1,"",_xlfn._xlws.XLOOKUP([@مفتاح_المقابل],tblContra[مفتاح_الحساب_المقابل],tblContra[كود_تحليلي],""))</f>
        <v/>
      </c>
      <c r="AC80">
        <f>IF(AND([@خطأ_المقابل]="",[@الحساب]&lt;&gt;"",[@كود_التصنيف]&lt;&gt;"",[@الإجمالي]&gt;0),"نعم","لا")</f>
        <v/>
      </c>
    </row>
    <row r="81">
      <c r="F81">
        <f>IF([@يؤثر_في_الرصيد]&lt;&gt;"نعم",0,IF([@حالة_السجل]="معكوسة",0,IF([@نوع_الحركة]="قبض",[@الإجمالي],0)))</f>
        <v/>
      </c>
      <c r="G81">
        <f>IF([@يؤثر_في_الرصيد]&lt;&gt;"نعم",0,IF([@حالة_السجل]="معكوسة",0,IF([@نوع_الحركة]="صرف",[@الإجمالي],IF([@نوع_الحركة]="عكس",[@الإجمالي],0))))</f>
        <v/>
      </c>
      <c r="K8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1">
        <f>[@قبل_الضريبة]+[@مبلغ_الضريبة]</f>
        <v/>
      </c>
      <c r="S81">
        <f>IF([@كود_التصنيف]="","",_xlfn._xlws.XLOOKUP([@كود_التصنيف],tblCat[كود_التصنيف],tblCat[نوع_تدفق],""))</f>
        <v/>
      </c>
      <c r="Y81">
        <f>IF([@كود_التصنيف]="","",[@كود_التصنيف]&amp;"|"&amp;[@نوع_الحركة]&amp;"|"&amp;[@كود_معالجة_ضريبية])</f>
        <v/>
      </c>
      <c r="Z81">
        <f>IF([@مفتاح_المقابل]="",0,COUNTIF(tblContra[مفتاح_الحساب_المقابل],[@مفتاح_المقابل]))</f>
        <v/>
      </c>
      <c r="AA81">
        <f>IF([@مفتاح_المقابل]="","",IF([@عدد_تطابقات]=0,"لا تطابق في دليل المقابل",IF([@عدد_تطابقات]&gt;1,"تطابق مكرر في الدليل","")))</f>
        <v/>
      </c>
      <c r="AB81">
        <f>IF([@عدد_تطابقات]&lt;&gt;1,"",_xlfn._xlws.XLOOKUP([@مفتاح_المقابل],tblContra[مفتاح_الحساب_المقابل],tblContra[كود_تحليلي],""))</f>
        <v/>
      </c>
      <c r="AC81">
        <f>IF(AND([@خطأ_المقابل]="",[@الحساب]&lt;&gt;"",[@كود_التصنيف]&lt;&gt;"",[@الإجمالي]&gt;0),"نعم","لا")</f>
        <v/>
      </c>
    </row>
    <row r="82">
      <c r="F82">
        <f>IF([@يؤثر_في_الرصيد]&lt;&gt;"نعم",0,IF([@حالة_السجل]="معكوسة",0,IF([@نوع_الحركة]="قبض",[@الإجمالي],0)))</f>
        <v/>
      </c>
      <c r="G82">
        <f>IF([@يؤثر_في_الرصيد]&lt;&gt;"نعم",0,IF([@حالة_السجل]="معكوسة",0,IF([@نوع_الحركة]="صرف",[@الإجمالي],IF([@نوع_الحركة]="عكس",[@الإجمالي],0))))</f>
        <v/>
      </c>
      <c r="K8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2">
        <f>[@قبل_الضريبة]+[@مبلغ_الضريبة]</f>
        <v/>
      </c>
      <c r="S82">
        <f>IF([@كود_التصنيف]="","",_xlfn._xlws.XLOOKUP([@كود_التصنيف],tblCat[كود_التصنيف],tblCat[نوع_تدفق],""))</f>
        <v/>
      </c>
      <c r="Y82">
        <f>IF([@كود_التصنيف]="","",[@كود_التصنيف]&amp;"|"&amp;[@نوع_الحركة]&amp;"|"&amp;[@كود_معالجة_ضريبية])</f>
        <v/>
      </c>
      <c r="Z82">
        <f>IF([@مفتاح_المقابل]="",0,COUNTIF(tblContra[مفتاح_الحساب_المقابل],[@مفتاح_المقابل]))</f>
        <v/>
      </c>
      <c r="AA82">
        <f>IF([@مفتاح_المقابل]="","",IF([@عدد_تطابقات]=0,"لا تطابق في دليل المقابل",IF([@عدد_تطابقات]&gt;1,"تطابق مكرر في الدليل","")))</f>
        <v/>
      </c>
      <c r="AB82">
        <f>IF([@عدد_تطابقات]&lt;&gt;1,"",_xlfn._xlws.XLOOKUP([@مفتاح_المقابل],tblContra[مفتاح_الحساب_المقابل],tblContra[كود_تحليلي],""))</f>
        <v/>
      </c>
      <c r="AC82">
        <f>IF(AND([@خطأ_المقابل]="",[@الحساب]&lt;&gt;"",[@كود_التصنيف]&lt;&gt;"",[@الإجمالي]&gt;0),"نعم","لا")</f>
        <v/>
      </c>
    </row>
    <row r="83">
      <c r="F83">
        <f>IF([@يؤثر_في_الرصيد]&lt;&gt;"نعم",0,IF([@حالة_السجل]="معكوسة",0,IF([@نوع_الحركة]="قبض",[@الإجمالي],0)))</f>
        <v/>
      </c>
      <c r="G83">
        <f>IF([@يؤثر_في_الرصيد]&lt;&gt;"نعم",0,IF([@حالة_السجل]="معكوسة",0,IF([@نوع_الحركة]="صرف",[@الإجمالي],IF([@نوع_الحركة]="عكس",[@الإجمالي],0))))</f>
        <v/>
      </c>
      <c r="K8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3">
        <f>[@قبل_الضريبة]+[@مبلغ_الضريبة]</f>
        <v/>
      </c>
      <c r="S83">
        <f>IF([@كود_التصنيف]="","",_xlfn._xlws.XLOOKUP([@كود_التصنيف],tblCat[كود_التصنيف],tblCat[نوع_تدفق],""))</f>
        <v/>
      </c>
      <c r="Y83">
        <f>IF([@كود_التصنيف]="","",[@كود_التصنيف]&amp;"|"&amp;[@نوع_الحركة]&amp;"|"&amp;[@كود_معالجة_ضريبية])</f>
        <v/>
      </c>
      <c r="Z83">
        <f>IF([@مفتاح_المقابل]="",0,COUNTIF(tblContra[مفتاح_الحساب_المقابل],[@مفتاح_المقابل]))</f>
        <v/>
      </c>
      <c r="AA83">
        <f>IF([@مفتاح_المقابل]="","",IF([@عدد_تطابقات]=0,"لا تطابق في دليل المقابل",IF([@عدد_تطابقات]&gt;1,"تطابق مكرر في الدليل","")))</f>
        <v/>
      </c>
      <c r="AB83">
        <f>IF([@عدد_تطابقات]&lt;&gt;1,"",_xlfn._xlws.XLOOKUP([@مفتاح_المقابل],tblContra[مفتاح_الحساب_المقابل],tblContra[كود_تحليلي],""))</f>
        <v/>
      </c>
      <c r="AC83">
        <f>IF(AND([@خطأ_المقابل]="",[@الحساب]&lt;&gt;"",[@كود_التصنيف]&lt;&gt;"",[@الإجمالي]&gt;0),"نعم","لا")</f>
        <v/>
      </c>
    </row>
    <row r="84">
      <c r="F84">
        <f>IF([@يؤثر_في_الرصيد]&lt;&gt;"نعم",0,IF([@حالة_السجل]="معكوسة",0,IF([@نوع_الحركة]="قبض",[@الإجمالي],0)))</f>
        <v/>
      </c>
      <c r="G84">
        <f>IF([@يؤثر_في_الرصيد]&lt;&gt;"نعم",0,IF([@حالة_السجل]="معكوسة",0,IF([@نوع_الحركة]="صرف",[@الإجمالي],IF([@نوع_الحركة]="عكس",[@الإجمالي],0))))</f>
        <v/>
      </c>
      <c r="K8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4">
        <f>[@قبل_الضريبة]+[@مبلغ_الضريبة]</f>
        <v/>
      </c>
      <c r="S84">
        <f>IF([@كود_التصنيف]="","",_xlfn._xlws.XLOOKUP([@كود_التصنيف],tblCat[كود_التصنيف],tblCat[نوع_تدفق],""))</f>
        <v/>
      </c>
      <c r="Y84">
        <f>IF([@كود_التصنيف]="","",[@كود_التصنيف]&amp;"|"&amp;[@نوع_الحركة]&amp;"|"&amp;[@كود_معالجة_ضريبية])</f>
        <v/>
      </c>
      <c r="Z84">
        <f>IF([@مفتاح_المقابل]="",0,COUNTIF(tblContra[مفتاح_الحساب_المقابل],[@مفتاح_المقابل]))</f>
        <v/>
      </c>
      <c r="AA84">
        <f>IF([@مفتاح_المقابل]="","",IF([@عدد_تطابقات]=0,"لا تطابق في دليل المقابل",IF([@عدد_تطابقات]&gt;1,"تطابق مكرر في الدليل","")))</f>
        <v/>
      </c>
      <c r="AB84">
        <f>IF([@عدد_تطابقات]&lt;&gt;1,"",_xlfn._xlws.XLOOKUP([@مفتاح_المقابل],tblContra[مفتاح_الحساب_المقابل],tblContra[كود_تحليلي],""))</f>
        <v/>
      </c>
      <c r="AC84">
        <f>IF(AND([@خطأ_المقابل]="",[@الحساب]&lt;&gt;"",[@كود_التصنيف]&lt;&gt;"",[@الإجمالي]&gt;0),"نعم","لا")</f>
        <v/>
      </c>
    </row>
    <row r="85">
      <c r="F85">
        <f>IF([@يؤثر_في_الرصيد]&lt;&gt;"نعم",0,IF([@حالة_السجل]="معكوسة",0,IF([@نوع_الحركة]="قبض",[@الإجمالي],0)))</f>
        <v/>
      </c>
      <c r="G85">
        <f>IF([@يؤثر_في_الرصيد]&lt;&gt;"نعم",0,IF([@حالة_السجل]="معكوسة",0,IF([@نوع_الحركة]="صرف",[@الإجمالي],IF([@نوع_الحركة]="عكس",[@الإجمالي],0))))</f>
        <v/>
      </c>
      <c r="K8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5">
        <f>[@قبل_الضريبة]+[@مبلغ_الضريبة]</f>
        <v/>
      </c>
      <c r="S85">
        <f>IF([@كود_التصنيف]="","",_xlfn._xlws.XLOOKUP([@كود_التصنيف],tblCat[كود_التصنيف],tblCat[نوع_تدفق],""))</f>
        <v/>
      </c>
      <c r="Y85">
        <f>IF([@كود_التصنيف]="","",[@كود_التصنيف]&amp;"|"&amp;[@نوع_الحركة]&amp;"|"&amp;[@كود_معالجة_ضريبية])</f>
        <v/>
      </c>
      <c r="Z85">
        <f>IF([@مفتاح_المقابل]="",0,COUNTIF(tblContra[مفتاح_الحساب_المقابل],[@مفتاح_المقابل]))</f>
        <v/>
      </c>
      <c r="AA85">
        <f>IF([@مفتاح_المقابل]="","",IF([@عدد_تطابقات]=0,"لا تطابق في دليل المقابل",IF([@عدد_تطابقات]&gt;1,"تطابق مكرر في الدليل","")))</f>
        <v/>
      </c>
      <c r="AB85">
        <f>IF([@عدد_تطابقات]&lt;&gt;1,"",_xlfn._xlws.XLOOKUP([@مفتاح_المقابل],tblContra[مفتاح_الحساب_المقابل],tblContra[كود_تحليلي],""))</f>
        <v/>
      </c>
      <c r="AC85">
        <f>IF(AND([@خطأ_المقابل]="",[@الحساب]&lt;&gt;"",[@كود_التصنيف]&lt;&gt;"",[@الإجمالي]&gt;0),"نعم","لا")</f>
        <v/>
      </c>
    </row>
    <row r="86">
      <c r="F86">
        <f>IF([@يؤثر_في_الرصيد]&lt;&gt;"نعم",0,IF([@حالة_السجل]="معكوسة",0,IF([@نوع_الحركة]="قبض",[@الإجمالي],0)))</f>
        <v/>
      </c>
      <c r="G86">
        <f>IF([@يؤثر_في_الرصيد]&lt;&gt;"نعم",0,IF([@حالة_السجل]="معكوسة",0,IF([@نوع_الحركة]="صرف",[@الإجمالي],IF([@نوع_الحركة]="عكس",[@الإجمالي],0))))</f>
        <v/>
      </c>
      <c r="K8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6">
        <f>[@قبل_الضريبة]+[@مبلغ_الضريبة]</f>
        <v/>
      </c>
      <c r="S86">
        <f>IF([@كود_التصنيف]="","",_xlfn._xlws.XLOOKUP([@كود_التصنيف],tblCat[كود_التصنيف],tblCat[نوع_تدفق],""))</f>
        <v/>
      </c>
      <c r="Y86">
        <f>IF([@كود_التصنيف]="","",[@كود_التصنيف]&amp;"|"&amp;[@نوع_الحركة]&amp;"|"&amp;[@كود_معالجة_ضريبية])</f>
        <v/>
      </c>
      <c r="Z86">
        <f>IF([@مفتاح_المقابل]="",0,COUNTIF(tblContra[مفتاح_الحساب_المقابل],[@مفتاح_المقابل]))</f>
        <v/>
      </c>
      <c r="AA86">
        <f>IF([@مفتاح_المقابل]="","",IF([@عدد_تطابقات]=0,"لا تطابق في دليل المقابل",IF([@عدد_تطابقات]&gt;1,"تطابق مكرر في الدليل","")))</f>
        <v/>
      </c>
      <c r="AB86">
        <f>IF([@عدد_تطابقات]&lt;&gt;1,"",_xlfn._xlws.XLOOKUP([@مفتاح_المقابل],tblContra[مفتاح_الحساب_المقابل],tblContra[كود_تحليلي],""))</f>
        <v/>
      </c>
      <c r="AC86">
        <f>IF(AND([@خطأ_المقابل]="",[@الحساب]&lt;&gt;"",[@كود_التصنيف]&lt;&gt;"",[@الإجمالي]&gt;0),"نعم","لا")</f>
        <v/>
      </c>
    </row>
    <row r="87">
      <c r="F87">
        <f>IF([@يؤثر_في_الرصيد]&lt;&gt;"نعم",0,IF([@حالة_السجل]="معكوسة",0,IF([@نوع_الحركة]="قبض",[@الإجمالي],0)))</f>
        <v/>
      </c>
      <c r="G87">
        <f>IF([@يؤثر_في_الرصيد]&lt;&gt;"نعم",0,IF([@حالة_السجل]="معكوسة",0,IF([@نوع_الحركة]="صرف",[@الإجمالي],IF([@نوع_الحركة]="عكس",[@الإجمالي],0))))</f>
        <v/>
      </c>
      <c r="K8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7">
        <f>[@قبل_الضريبة]+[@مبلغ_الضريبة]</f>
        <v/>
      </c>
      <c r="S87">
        <f>IF([@كود_التصنيف]="","",_xlfn._xlws.XLOOKUP([@كود_التصنيف],tblCat[كود_التصنيف],tblCat[نوع_تدفق],""))</f>
        <v/>
      </c>
      <c r="Y87">
        <f>IF([@كود_التصنيف]="","",[@كود_التصنيف]&amp;"|"&amp;[@نوع_الحركة]&amp;"|"&amp;[@كود_معالجة_ضريبية])</f>
        <v/>
      </c>
      <c r="Z87">
        <f>IF([@مفتاح_المقابل]="",0,COUNTIF(tblContra[مفتاح_الحساب_المقابل],[@مفتاح_المقابل]))</f>
        <v/>
      </c>
      <c r="AA87">
        <f>IF([@مفتاح_المقابل]="","",IF([@عدد_تطابقات]=0,"لا تطابق في دليل المقابل",IF([@عدد_تطابقات]&gt;1,"تطابق مكرر في الدليل","")))</f>
        <v/>
      </c>
      <c r="AB87">
        <f>IF([@عدد_تطابقات]&lt;&gt;1,"",_xlfn._xlws.XLOOKUP([@مفتاح_المقابل],tblContra[مفتاح_الحساب_المقابل],tblContra[كود_تحليلي],""))</f>
        <v/>
      </c>
      <c r="AC87">
        <f>IF(AND([@خطأ_المقابل]="",[@الحساب]&lt;&gt;"",[@كود_التصنيف]&lt;&gt;"",[@الإجمالي]&gt;0),"نعم","لا")</f>
        <v/>
      </c>
    </row>
    <row r="88">
      <c r="F88">
        <f>IF([@يؤثر_في_الرصيد]&lt;&gt;"نعم",0,IF([@حالة_السجل]="معكوسة",0,IF([@نوع_الحركة]="قبض",[@الإجمالي],0)))</f>
        <v/>
      </c>
      <c r="G88">
        <f>IF([@يؤثر_في_الرصيد]&lt;&gt;"نعم",0,IF([@حالة_السجل]="معكوسة",0,IF([@نوع_الحركة]="صرف",[@الإجمالي],IF([@نوع_الحركة]="عكس",[@الإجمالي],0))))</f>
        <v/>
      </c>
      <c r="K8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8">
        <f>[@قبل_الضريبة]+[@مبلغ_الضريبة]</f>
        <v/>
      </c>
      <c r="S88">
        <f>IF([@كود_التصنيف]="","",_xlfn._xlws.XLOOKUP([@كود_التصنيف],tblCat[كود_التصنيف],tblCat[نوع_تدفق],""))</f>
        <v/>
      </c>
      <c r="Y88">
        <f>IF([@كود_التصنيف]="","",[@كود_التصنيف]&amp;"|"&amp;[@نوع_الحركة]&amp;"|"&amp;[@كود_معالجة_ضريبية])</f>
        <v/>
      </c>
      <c r="Z88">
        <f>IF([@مفتاح_المقابل]="",0,COUNTIF(tblContra[مفتاح_الحساب_المقابل],[@مفتاح_المقابل]))</f>
        <v/>
      </c>
      <c r="AA88">
        <f>IF([@مفتاح_المقابل]="","",IF([@عدد_تطابقات]=0,"لا تطابق في دليل المقابل",IF([@عدد_تطابقات]&gt;1,"تطابق مكرر في الدليل","")))</f>
        <v/>
      </c>
      <c r="AB88">
        <f>IF([@عدد_تطابقات]&lt;&gt;1,"",_xlfn._xlws.XLOOKUP([@مفتاح_المقابل],tblContra[مفتاح_الحساب_المقابل],tblContra[كود_تحليلي],""))</f>
        <v/>
      </c>
      <c r="AC88">
        <f>IF(AND([@خطأ_المقابل]="",[@الحساب]&lt;&gt;"",[@كود_التصنيف]&lt;&gt;"",[@الإجمالي]&gt;0),"نعم","لا")</f>
        <v/>
      </c>
    </row>
    <row r="89">
      <c r="F89">
        <f>IF([@يؤثر_في_الرصيد]&lt;&gt;"نعم",0,IF([@حالة_السجل]="معكوسة",0,IF([@نوع_الحركة]="قبض",[@الإجمالي],0)))</f>
        <v/>
      </c>
      <c r="G89">
        <f>IF([@يؤثر_في_الرصيد]&lt;&gt;"نعم",0,IF([@حالة_السجل]="معكوسة",0,IF([@نوع_الحركة]="صرف",[@الإجمالي],IF([@نوع_الحركة]="عكس",[@الإجمالي],0))))</f>
        <v/>
      </c>
      <c r="K8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89">
        <f>[@قبل_الضريبة]+[@مبلغ_الضريبة]</f>
        <v/>
      </c>
      <c r="S89">
        <f>IF([@كود_التصنيف]="","",_xlfn._xlws.XLOOKUP([@كود_التصنيف],tblCat[كود_التصنيف],tblCat[نوع_تدفق],""))</f>
        <v/>
      </c>
      <c r="Y89">
        <f>IF([@كود_التصنيف]="","",[@كود_التصنيف]&amp;"|"&amp;[@نوع_الحركة]&amp;"|"&amp;[@كود_معالجة_ضريبية])</f>
        <v/>
      </c>
      <c r="Z89">
        <f>IF([@مفتاح_المقابل]="",0,COUNTIF(tblContra[مفتاح_الحساب_المقابل],[@مفتاح_المقابل]))</f>
        <v/>
      </c>
      <c r="AA89">
        <f>IF([@مفتاح_المقابل]="","",IF([@عدد_تطابقات]=0,"لا تطابق في دليل المقابل",IF([@عدد_تطابقات]&gt;1,"تطابق مكرر في الدليل","")))</f>
        <v/>
      </c>
      <c r="AB89">
        <f>IF([@عدد_تطابقات]&lt;&gt;1,"",_xlfn._xlws.XLOOKUP([@مفتاح_المقابل],tblContra[مفتاح_الحساب_المقابل],tblContra[كود_تحليلي],""))</f>
        <v/>
      </c>
      <c r="AC89">
        <f>IF(AND([@خطأ_المقابل]="",[@الحساب]&lt;&gt;"",[@كود_التصنيف]&lt;&gt;"",[@الإجمالي]&gt;0),"نعم","لا")</f>
        <v/>
      </c>
    </row>
    <row r="90">
      <c r="F90">
        <f>IF([@يؤثر_في_الرصيد]&lt;&gt;"نعم",0,IF([@حالة_السجل]="معكوسة",0,IF([@نوع_الحركة]="قبض",[@الإجمالي],0)))</f>
        <v/>
      </c>
      <c r="G90">
        <f>IF([@يؤثر_في_الرصيد]&lt;&gt;"نعم",0,IF([@حالة_السجل]="معكوسة",0,IF([@نوع_الحركة]="صرف",[@الإجمالي],IF([@نوع_الحركة]="عكس",[@الإجمالي],0))))</f>
        <v/>
      </c>
      <c r="K9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0">
        <f>[@قبل_الضريبة]+[@مبلغ_الضريبة]</f>
        <v/>
      </c>
      <c r="S90">
        <f>IF([@كود_التصنيف]="","",_xlfn._xlws.XLOOKUP([@كود_التصنيف],tblCat[كود_التصنيف],tblCat[نوع_تدفق],""))</f>
        <v/>
      </c>
      <c r="Y90">
        <f>IF([@كود_التصنيف]="","",[@كود_التصنيف]&amp;"|"&amp;[@نوع_الحركة]&amp;"|"&amp;[@كود_معالجة_ضريبية])</f>
        <v/>
      </c>
      <c r="Z90">
        <f>IF([@مفتاح_المقابل]="",0,COUNTIF(tblContra[مفتاح_الحساب_المقابل],[@مفتاح_المقابل]))</f>
        <v/>
      </c>
      <c r="AA90">
        <f>IF([@مفتاح_المقابل]="","",IF([@عدد_تطابقات]=0,"لا تطابق في دليل المقابل",IF([@عدد_تطابقات]&gt;1,"تطابق مكرر في الدليل","")))</f>
        <v/>
      </c>
      <c r="AB90">
        <f>IF([@عدد_تطابقات]&lt;&gt;1,"",_xlfn._xlws.XLOOKUP([@مفتاح_المقابل],tblContra[مفتاح_الحساب_المقابل],tblContra[كود_تحليلي],""))</f>
        <v/>
      </c>
      <c r="AC90">
        <f>IF(AND([@خطأ_المقابل]="",[@الحساب]&lt;&gt;"",[@كود_التصنيف]&lt;&gt;"",[@الإجمالي]&gt;0),"نعم","لا")</f>
        <v/>
      </c>
    </row>
    <row r="91">
      <c r="F91">
        <f>IF([@يؤثر_في_الرصيد]&lt;&gt;"نعم",0,IF([@حالة_السجل]="معكوسة",0,IF([@نوع_الحركة]="قبض",[@الإجمالي],0)))</f>
        <v/>
      </c>
      <c r="G91">
        <f>IF([@يؤثر_في_الرصيد]&lt;&gt;"نعم",0,IF([@حالة_السجل]="معكوسة",0,IF([@نوع_الحركة]="صرف",[@الإجمالي],IF([@نوع_الحركة]="عكس",[@الإجمالي],0))))</f>
        <v/>
      </c>
      <c r="K9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1">
        <f>[@قبل_الضريبة]+[@مبلغ_الضريبة]</f>
        <v/>
      </c>
      <c r="S91">
        <f>IF([@كود_التصنيف]="","",_xlfn._xlws.XLOOKUP([@كود_التصنيف],tblCat[كود_التصنيف],tblCat[نوع_تدفق],""))</f>
        <v/>
      </c>
      <c r="Y91">
        <f>IF([@كود_التصنيف]="","",[@كود_التصنيف]&amp;"|"&amp;[@نوع_الحركة]&amp;"|"&amp;[@كود_معالجة_ضريبية])</f>
        <v/>
      </c>
      <c r="Z91">
        <f>IF([@مفتاح_المقابل]="",0,COUNTIF(tblContra[مفتاح_الحساب_المقابل],[@مفتاح_المقابل]))</f>
        <v/>
      </c>
      <c r="AA91">
        <f>IF([@مفتاح_المقابل]="","",IF([@عدد_تطابقات]=0,"لا تطابق في دليل المقابل",IF([@عدد_تطابقات]&gt;1,"تطابق مكرر في الدليل","")))</f>
        <v/>
      </c>
      <c r="AB91">
        <f>IF([@عدد_تطابقات]&lt;&gt;1,"",_xlfn._xlws.XLOOKUP([@مفتاح_المقابل],tblContra[مفتاح_الحساب_المقابل],tblContra[كود_تحليلي],""))</f>
        <v/>
      </c>
      <c r="AC91">
        <f>IF(AND([@خطأ_المقابل]="",[@الحساب]&lt;&gt;"",[@كود_التصنيف]&lt;&gt;"",[@الإجمالي]&gt;0),"نعم","لا")</f>
        <v/>
      </c>
    </row>
    <row r="92">
      <c r="F92">
        <f>IF([@يؤثر_في_الرصيد]&lt;&gt;"نعم",0,IF([@حالة_السجل]="معكوسة",0,IF([@نوع_الحركة]="قبض",[@الإجمالي],0)))</f>
        <v/>
      </c>
      <c r="G92">
        <f>IF([@يؤثر_في_الرصيد]&lt;&gt;"نعم",0,IF([@حالة_السجل]="معكوسة",0,IF([@نوع_الحركة]="صرف",[@الإجمالي],IF([@نوع_الحركة]="عكس",[@الإجمالي],0))))</f>
        <v/>
      </c>
      <c r="K9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2">
        <f>[@قبل_الضريبة]+[@مبلغ_الضريبة]</f>
        <v/>
      </c>
      <c r="S92">
        <f>IF([@كود_التصنيف]="","",_xlfn._xlws.XLOOKUP([@كود_التصنيف],tblCat[كود_التصنيف],tblCat[نوع_تدفق],""))</f>
        <v/>
      </c>
      <c r="Y92">
        <f>IF([@كود_التصنيف]="","",[@كود_التصنيف]&amp;"|"&amp;[@نوع_الحركة]&amp;"|"&amp;[@كود_معالجة_ضريبية])</f>
        <v/>
      </c>
      <c r="Z92">
        <f>IF([@مفتاح_المقابل]="",0,COUNTIF(tblContra[مفتاح_الحساب_المقابل],[@مفتاح_المقابل]))</f>
        <v/>
      </c>
      <c r="AA92">
        <f>IF([@مفتاح_المقابل]="","",IF([@عدد_تطابقات]=0,"لا تطابق في دليل المقابل",IF([@عدد_تطابقات]&gt;1,"تطابق مكرر في الدليل","")))</f>
        <v/>
      </c>
      <c r="AB92">
        <f>IF([@عدد_تطابقات]&lt;&gt;1,"",_xlfn._xlws.XLOOKUP([@مفتاح_المقابل],tblContra[مفتاح_الحساب_المقابل],tblContra[كود_تحليلي],""))</f>
        <v/>
      </c>
      <c r="AC92">
        <f>IF(AND([@خطأ_المقابل]="",[@الحساب]&lt;&gt;"",[@كود_التصنيف]&lt;&gt;"",[@الإجمالي]&gt;0),"نعم","لا")</f>
        <v/>
      </c>
    </row>
    <row r="93">
      <c r="F93">
        <f>IF([@يؤثر_في_الرصيد]&lt;&gt;"نعم",0,IF([@حالة_السجل]="معكوسة",0,IF([@نوع_الحركة]="قبض",[@الإجمالي],0)))</f>
        <v/>
      </c>
      <c r="G93">
        <f>IF([@يؤثر_في_الرصيد]&lt;&gt;"نعم",0,IF([@حالة_السجل]="معكوسة",0,IF([@نوع_الحركة]="صرف",[@الإجمالي],IF([@نوع_الحركة]="عكس",[@الإجمالي],0))))</f>
        <v/>
      </c>
      <c r="K9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3">
        <f>[@قبل_الضريبة]+[@مبلغ_الضريبة]</f>
        <v/>
      </c>
      <c r="S93">
        <f>IF([@كود_التصنيف]="","",_xlfn._xlws.XLOOKUP([@كود_التصنيف],tblCat[كود_التصنيف],tblCat[نوع_تدفق],""))</f>
        <v/>
      </c>
      <c r="Y93">
        <f>IF([@كود_التصنيف]="","",[@كود_التصنيف]&amp;"|"&amp;[@نوع_الحركة]&amp;"|"&amp;[@كود_معالجة_ضريبية])</f>
        <v/>
      </c>
      <c r="Z93">
        <f>IF([@مفتاح_المقابل]="",0,COUNTIF(tblContra[مفتاح_الحساب_المقابل],[@مفتاح_المقابل]))</f>
        <v/>
      </c>
      <c r="AA93">
        <f>IF([@مفتاح_المقابل]="","",IF([@عدد_تطابقات]=0,"لا تطابق في دليل المقابل",IF([@عدد_تطابقات]&gt;1,"تطابق مكرر في الدليل","")))</f>
        <v/>
      </c>
      <c r="AB93">
        <f>IF([@عدد_تطابقات]&lt;&gt;1,"",_xlfn._xlws.XLOOKUP([@مفتاح_المقابل],tblContra[مفتاح_الحساب_المقابل],tblContra[كود_تحليلي],""))</f>
        <v/>
      </c>
      <c r="AC93">
        <f>IF(AND([@خطأ_المقابل]="",[@الحساب]&lt;&gt;"",[@كود_التصنيف]&lt;&gt;"",[@الإجمالي]&gt;0),"نعم","لا")</f>
        <v/>
      </c>
    </row>
    <row r="94">
      <c r="F94">
        <f>IF([@يؤثر_في_الرصيد]&lt;&gt;"نعم",0,IF([@حالة_السجل]="معكوسة",0,IF([@نوع_الحركة]="قبض",[@الإجمالي],0)))</f>
        <v/>
      </c>
      <c r="G94">
        <f>IF([@يؤثر_في_الرصيد]&lt;&gt;"نعم",0,IF([@حالة_السجل]="معكوسة",0,IF([@نوع_الحركة]="صرف",[@الإجمالي],IF([@نوع_الحركة]="عكس",[@الإجمالي],0))))</f>
        <v/>
      </c>
      <c r="K9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4">
        <f>[@قبل_الضريبة]+[@مبلغ_الضريبة]</f>
        <v/>
      </c>
      <c r="S94">
        <f>IF([@كود_التصنيف]="","",_xlfn._xlws.XLOOKUP([@كود_التصنيف],tblCat[كود_التصنيف],tblCat[نوع_تدفق],""))</f>
        <v/>
      </c>
      <c r="Y94">
        <f>IF([@كود_التصنيف]="","",[@كود_التصنيف]&amp;"|"&amp;[@نوع_الحركة]&amp;"|"&amp;[@كود_معالجة_ضريبية])</f>
        <v/>
      </c>
      <c r="Z94">
        <f>IF([@مفتاح_المقابل]="",0,COUNTIF(tblContra[مفتاح_الحساب_المقابل],[@مفتاح_المقابل]))</f>
        <v/>
      </c>
      <c r="AA94">
        <f>IF([@مفتاح_المقابل]="","",IF([@عدد_تطابقات]=0,"لا تطابق في دليل المقابل",IF([@عدد_تطابقات]&gt;1,"تطابق مكرر في الدليل","")))</f>
        <v/>
      </c>
      <c r="AB94">
        <f>IF([@عدد_تطابقات]&lt;&gt;1,"",_xlfn._xlws.XLOOKUP([@مفتاح_المقابل],tblContra[مفتاح_الحساب_المقابل],tblContra[كود_تحليلي],""))</f>
        <v/>
      </c>
      <c r="AC94">
        <f>IF(AND([@خطأ_المقابل]="",[@الحساب]&lt;&gt;"",[@كود_التصنيف]&lt;&gt;"",[@الإجمالي]&gt;0),"نعم","لا")</f>
        <v/>
      </c>
    </row>
    <row r="95">
      <c r="F95">
        <f>IF([@يؤثر_في_الرصيد]&lt;&gt;"نعم",0,IF([@حالة_السجل]="معكوسة",0,IF([@نوع_الحركة]="قبض",[@الإجمالي],0)))</f>
        <v/>
      </c>
      <c r="G95">
        <f>IF([@يؤثر_في_الرصيد]&lt;&gt;"نعم",0,IF([@حالة_السجل]="معكوسة",0,IF([@نوع_الحركة]="صرف",[@الإجمالي],IF([@نوع_الحركة]="عكس",[@الإجمالي],0))))</f>
        <v/>
      </c>
      <c r="K9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5">
        <f>[@قبل_الضريبة]+[@مبلغ_الضريبة]</f>
        <v/>
      </c>
      <c r="S95">
        <f>IF([@كود_التصنيف]="","",_xlfn._xlws.XLOOKUP([@كود_التصنيف],tblCat[كود_التصنيف],tblCat[نوع_تدفق],""))</f>
        <v/>
      </c>
      <c r="Y95">
        <f>IF([@كود_التصنيف]="","",[@كود_التصنيف]&amp;"|"&amp;[@نوع_الحركة]&amp;"|"&amp;[@كود_معالجة_ضريبية])</f>
        <v/>
      </c>
      <c r="Z95">
        <f>IF([@مفتاح_المقابل]="",0,COUNTIF(tblContra[مفتاح_الحساب_المقابل],[@مفتاح_المقابل]))</f>
        <v/>
      </c>
      <c r="AA95">
        <f>IF([@مفتاح_المقابل]="","",IF([@عدد_تطابقات]=0,"لا تطابق في دليل المقابل",IF([@عدد_تطابقات]&gt;1,"تطابق مكرر في الدليل","")))</f>
        <v/>
      </c>
      <c r="AB95">
        <f>IF([@عدد_تطابقات]&lt;&gt;1,"",_xlfn._xlws.XLOOKUP([@مفتاح_المقابل],tblContra[مفتاح_الحساب_المقابل],tblContra[كود_تحليلي],""))</f>
        <v/>
      </c>
      <c r="AC95">
        <f>IF(AND([@خطأ_المقابل]="",[@الحساب]&lt;&gt;"",[@كود_التصنيف]&lt;&gt;"",[@الإجمالي]&gt;0),"نعم","لا")</f>
        <v/>
      </c>
    </row>
    <row r="96">
      <c r="F96">
        <f>IF([@يؤثر_في_الرصيد]&lt;&gt;"نعم",0,IF([@حالة_السجل]="معكوسة",0,IF([@نوع_الحركة]="قبض",[@الإجمالي],0)))</f>
        <v/>
      </c>
      <c r="G96">
        <f>IF([@يؤثر_في_الرصيد]&lt;&gt;"نعم",0,IF([@حالة_السجل]="معكوسة",0,IF([@نوع_الحركة]="صرف",[@الإجمالي],IF([@نوع_الحركة]="عكس",[@الإجمالي],0))))</f>
        <v/>
      </c>
      <c r="K9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6">
        <f>[@قبل_الضريبة]+[@مبلغ_الضريبة]</f>
        <v/>
      </c>
      <c r="S96">
        <f>IF([@كود_التصنيف]="","",_xlfn._xlws.XLOOKUP([@كود_التصنيف],tblCat[كود_التصنيف],tblCat[نوع_تدفق],""))</f>
        <v/>
      </c>
      <c r="Y96">
        <f>IF([@كود_التصنيف]="","",[@كود_التصنيف]&amp;"|"&amp;[@نوع_الحركة]&amp;"|"&amp;[@كود_معالجة_ضريبية])</f>
        <v/>
      </c>
      <c r="Z96">
        <f>IF([@مفتاح_المقابل]="",0,COUNTIF(tblContra[مفتاح_الحساب_المقابل],[@مفتاح_المقابل]))</f>
        <v/>
      </c>
      <c r="AA96">
        <f>IF([@مفتاح_المقابل]="","",IF([@عدد_تطابقات]=0,"لا تطابق في دليل المقابل",IF([@عدد_تطابقات]&gt;1,"تطابق مكرر في الدليل","")))</f>
        <v/>
      </c>
      <c r="AB96">
        <f>IF([@عدد_تطابقات]&lt;&gt;1,"",_xlfn._xlws.XLOOKUP([@مفتاح_المقابل],tblContra[مفتاح_الحساب_المقابل],tblContra[كود_تحليلي],""))</f>
        <v/>
      </c>
      <c r="AC96">
        <f>IF(AND([@خطأ_المقابل]="",[@الحساب]&lt;&gt;"",[@كود_التصنيف]&lt;&gt;"",[@الإجمالي]&gt;0),"نعم","لا")</f>
        <v/>
      </c>
    </row>
    <row r="97">
      <c r="F97">
        <f>IF([@يؤثر_في_الرصيد]&lt;&gt;"نعم",0,IF([@حالة_السجل]="معكوسة",0,IF([@نوع_الحركة]="قبض",[@الإجمالي],0)))</f>
        <v/>
      </c>
      <c r="G97">
        <f>IF([@يؤثر_في_الرصيد]&lt;&gt;"نعم",0,IF([@حالة_السجل]="معكوسة",0,IF([@نوع_الحركة]="صرف",[@الإجمالي],IF([@نوع_الحركة]="عكس",[@الإجمالي],0))))</f>
        <v/>
      </c>
      <c r="K9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7">
        <f>[@قبل_الضريبة]+[@مبلغ_الضريبة]</f>
        <v/>
      </c>
      <c r="S97">
        <f>IF([@كود_التصنيف]="","",_xlfn._xlws.XLOOKUP([@كود_التصنيف],tblCat[كود_التصنيف],tblCat[نوع_تدفق],""))</f>
        <v/>
      </c>
      <c r="Y97">
        <f>IF([@كود_التصنيف]="","",[@كود_التصنيف]&amp;"|"&amp;[@نوع_الحركة]&amp;"|"&amp;[@كود_معالجة_ضريبية])</f>
        <v/>
      </c>
      <c r="Z97">
        <f>IF([@مفتاح_المقابل]="",0,COUNTIF(tblContra[مفتاح_الحساب_المقابل],[@مفتاح_المقابل]))</f>
        <v/>
      </c>
      <c r="AA97">
        <f>IF([@مفتاح_المقابل]="","",IF([@عدد_تطابقات]=0,"لا تطابق في دليل المقابل",IF([@عدد_تطابقات]&gt;1,"تطابق مكرر في الدليل","")))</f>
        <v/>
      </c>
      <c r="AB97">
        <f>IF([@عدد_تطابقات]&lt;&gt;1,"",_xlfn._xlws.XLOOKUP([@مفتاح_المقابل],tblContra[مفتاح_الحساب_المقابل],tblContra[كود_تحليلي],""))</f>
        <v/>
      </c>
      <c r="AC97">
        <f>IF(AND([@خطأ_المقابل]="",[@الحساب]&lt;&gt;"",[@كود_التصنيف]&lt;&gt;"",[@الإجمالي]&gt;0),"نعم","لا")</f>
        <v/>
      </c>
    </row>
    <row r="98">
      <c r="F98">
        <f>IF([@يؤثر_في_الرصيد]&lt;&gt;"نعم",0,IF([@حالة_السجل]="معكوسة",0,IF([@نوع_الحركة]="قبض",[@الإجمالي],0)))</f>
        <v/>
      </c>
      <c r="G98">
        <f>IF([@يؤثر_في_الرصيد]&lt;&gt;"نعم",0,IF([@حالة_السجل]="معكوسة",0,IF([@نوع_الحركة]="صرف",[@الإجمالي],IF([@نوع_الحركة]="عكس",[@الإجمالي],0))))</f>
        <v/>
      </c>
      <c r="K9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8">
        <f>[@قبل_الضريبة]+[@مبلغ_الضريبة]</f>
        <v/>
      </c>
      <c r="S98">
        <f>IF([@كود_التصنيف]="","",_xlfn._xlws.XLOOKUP([@كود_التصنيف],tblCat[كود_التصنيف],tblCat[نوع_تدفق],""))</f>
        <v/>
      </c>
      <c r="Y98">
        <f>IF([@كود_التصنيف]="","",[@كود_التصنيف]&amp;"|"&amp;[@نوع_الحركة]&amp;"|"&amp;[@كود_معالجة_ضريبية])</f>
        <v/>
      </c>
      <c r="Z98">
        <f>IF([@مفتاح_المقابل]="",0,COUNTIF(tblContra[مفتاح_الحساب_المقابل],[@مفتاح_المقابل]))</f>
        <v/>
      </c>
      <c r="AA98">
        <f>IF([@مفتاح_المقابل]="","",IF([@عدد_تطابقات]=0,"لا تطابق في دليل المقابل",IF([@عدد_تطابقات]&gt;1,"تطابق مكرر في الدليل","")))</f>
        <v/>
      </c>
      <c r="AB98">
        <f>IF([@عدد_تطابقات]&lt;&gt;1,"",_xlfn._xlws.XLOOKUP([@مفتاح_المقابل],tblContra[مفتاح_الحساب_المقابل],tblContra[كود_تحليلي],""))</f>
        <v/>
      </c>
      <c r="AC98">
        <f>IF(AND([@خطأ_المقابل]="",[@الحساب]&lt;&gt;"",[@كود_التصنيف]&lt;&gt;"",[@الإجمالي]&gt;0),"نعم","لا")</f>
        <v/>
      </c>
    </row>
    <row r="99">
      <c r="F99">
        <f>IF([@يؤثر_في_الرصيد]&lt;&gt;"نعم",0,IF([@حالة_السجل]="معكوسة",0,IF([@نوع_الحركة]="قبض",[@الإجمالي],0)))</f>
        <v/>
      </c>
      <c r="G99">
        <f>IF([@يؤثر_في_الرصيد]&lt;&gt;"نعم",0,IF([@حالة_السجل]="معكوسة",0,IF([@نوع_الحركة]="صرف",[@الإجمالي],IF([@نوع_الحركة]="عكس",[@الإجمالي],0))))</f>
        <v/>
      </c>
      <c r="K9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99">
        <f>[@قبل_الضريبة]+[@مبلغ_الضريبة]</f>
        <v/>
      </c>
      <c r="S99">
        <f>IF([@كود_التصنيف]="","",_xlfn._xlws.XLOOKUP([@كود_التصنيف],tblCat[كود_التصنيف],tblCat[نوع_تدفق],""))</f>
        <v/>
      </c>
      <c r="Y99">
        <f>IF([@كود_التصنيف]="","",[@كود_التصنيف]&amp;"|"&amp;[@نوع_الحركة]&amp;"|"&amp;[@كود_معالجة_ضريبية])</f>
        <v/>
      </c>
      <c r="Z99">
        <f>IF([@مفتاح_المقابل]="",0,COUNTIF(tblContra[مفتاح_الحساب_المقابل],[@مفتاح_المقابل]))</f>
        <v/>
      </c>
      <c r="AA99">
        <f>IF([@مفتاح_المقابل]="","",IF([@عدد_تطابقات]=0,"لا تطابق في دليل المقابل",IF([@عدد_تطابقات]&gt;1,"تطابق مكرر في الدليل","")))</f>
        <v/>
      </c>
      <c r="AB99">
        <f>IF([@عدد_تطابقات]&lt;&gt;1,"",_xlfn._xlws.XLOOKUP([@مفتاح_المقابل],tblContra[مفتاح_الحساب_المقابل],tblContra[كود_تحليلي],""))</f>
        <v/>
      </c>
      <c r="AC99">
        <f>IF(AND([@خطأ_المقابل]="",[@الحساب]&lt;&gt;"",[@كود_التصنيف]&lt;&gt;"",[@الإجمالي]&gt;0),"نعم","لا")</f>
        <v/>
      </c>
    </row>
    <row r="100">
      <c r="F100">
        <f>IF([@يؤثر_في_الرصيد]&lt;&gt;"نعم",0,IF([@حالة_السجل]="معكوسة",0,IF([@نوع_الحركة]="قبض",[@الإجمالي],0)))</f>
        <v/>
      </c>
      <c r="G100">
        <f>IF([@يؤثر_في_الرصيد]&lt;&gt;"نعم",0,IF([@حالة_السجل]="معكوسة",0,IF([@نوع_الحركة]="صرف",[@الإجمالي],IF([@نوع_الحركة]="عكس",[@الإجمالي],0))))</f>
        <v/>
      </c>
      <c r="K10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0">
        <f>[@قبل_الضريبة]+[@مبلغ_الضريبة]</f>
        <v/>
      </c>
      <c r="S100">
        <f>IF([@كود_التصنيف]="","",_xlfn._xlws.XLOOKUP([@كود_التصنيف],tblCat[كود_التصنيف],tblCat[نوع_تدفق],""))</f>
        <v/>
      </c>
      <c r="Y100">
        <f>IF([@كود_التصنيف]="","",[@كود_التصنيف]&amp;"|"&amp;[@نوع_الحركة]&amp;"|"&amp;[@كود_معالجة_ضريبية])</f>
        <v/>
      </c>
      <c r="Z100">
        <f>IF([@مفتاح_المقابل]="",0,COUNTIF(tblContra[مفتاح_الحساب_المقابل],[@مفتاح_المقابل]))</f>
        <v/>
      </c>
      <c r="AA100">
        <f>IF([@مفتاح_المقابل]="","",IF([@عدد_تطابقات]=0,"لا تطابق في دليل المقابل",IF([@عدد_تطابقات]&gt;1,"تطابق مكرر في الدليل","")))</f>
        <v/>
      </c>
      <c r="AB100">
        <f>IF([@عدد_تطابقات]&lt;&gt;1,"",_xlfn._xlws.XLOOKUP([@مفتاح_المقابل],tblContra[مفتاح_الحساب_المقابل],tblContra[كود_تحليلي],""))</f>
        <v/>
      </c>
      <c r="AC100">
        <f>IF(AND([@خطأ_المقابل]="",[@الحساب]&lt;&gt;"",[@كود_التصنيف]&lt;&gt;"",[@الإجمالي]&gt;0),"نعم","لا")</f>
        <v/>
      </c>
    </row>
    <row r="101">
      <c r="F101">
        <f>IF([@يؤثر_في_الرصيد]&lt;&gt;"نعم",0,IF([@حالة_السجل]="معكوسة",0,IF([@نوع_الحركة]="قبض",[@الإجمالي],0)))</f>
        <v/>
      </c>
      <c r="G101">
        <f>IF([@يؤثر_في_الرصيد]&lt;&gt;"نعم",0,IF([@حالة_السجل]="معكوسة",0,IF([@نوع_الحركة]="صرف",[@الإجمالي],IF([@نوع_الحركة]="عكس",[@الإجمالي],0))))</f>
        <v/>
      </c>
      <c r="K10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1">
        <f>[@قبل_الضريبة]+[@مبلغ_الضريبة]</f>
        <v/>
      </c>
      <c r="S101">
        <f>IF([@كود_التصنيف]="","",_xlfn._xlws.XLOOKUP([@كود_التصنيف],tblCat[كود_التصنيف],tblCat[نوع_تدفق],""))</f>
        <v/>
      </c>
      <c r="Y101">
        <f>IF([@كود_التصنيف]="","",[@كود_التصنيف]&amp;"|"&amp;[@نوع_الحركة]&amp;"|"&amp;[@كود_معالجة_ضريبية])</f>
        <v/>
      </c>
      <c r="Z101">
        <f>IF([@مفتاح_المقابل]="",0,COUNTIF(tblContra[مفتاح_الحساب_المقابل],[@مفتاح_المقابل]))</f>
        <v/>
      </c>
      <c r="AA101">
        <f>IF([@مفتاح_المقابل]="","",IF([@عدد_تطابقات]=0,"لا تطابق في دليل المقابل",IF([@عدد_تطابقات]&gt;1,"تطابق مكرر في الدليل","")))</f>
        <v/>
      </c>
      <c r="AB101">
        <f>IF([@عدد_تطابقات]&lt;&gt;1,"",_xlfn._xlws.XLOOKUP([@مفتاح_المقابل],tblContra[مفتاح_الحساب_المقابل],tblContra[كود_تحليلي],""))</f>
        <v/>
      </c>
      <c r="AC101">
        <f>IF(AND([@خطأ_المقابل]="",[@الحساب]&lt;&gt;"",[@كود_التصنيف]&lt;&gt;"",[@الإجمالي]&gt;0),"نعم","لا")</f>
        <v/>
      </c>
    </row>
    <row r="102">
      <c r="F102">
        <f>IF([@يؤثر_في_الرصيد]&lt;&gt;"نعم",0,IF([@حالة_السجل]="معكوسة",0,IF([@نوع_الحركة]="قبض",[@الإجمالي],0)))</f>
        <v/>
      </c>
      <c r="G102">
        <f>IF([@يؤثر_في_الرصيد]&lt;&gt;"نعم",0,IF([@حالة_السجل]="معكوسة",0,IF([@نوع_الحركة]="صرف",[@الإجمالي],IF([@نوع_الحركة]="عكس",[@الإجمالي],0))))</f>
        <v/>
      </c>
      <c r="K10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2">
        <f>[@قبل_الضريبة]+[@مبلغ_الضريبة]</f>
        <v/>
      </c>
      <c r="S102">
        <f>IF([@كود_التصنيف]="","",_xlfn._xlws.XLOOKUP([@كود_التصنيف],tblCat[كود_التصنيف],tblCat[نوع_تدفق],""))</f>
        <v/>
      </c>
      <c r="Y102">
        <f>IF([@كود_التصنيف]="","",[@كود_التصنيف]&amp;"|"&amp;[@نوع_الحركة]&amp;"|"&amp;[@كود_معالجة_ضريبية])</f>
        <v/>
      </c>
      <c r="Z102">
        <f>IF([@مفتاح_المقابل]="",0,COUNTIF(tblContra[مفتاح_الحساب_المقابل],[@مفتاح_المقابل]))</f>
        <v/>
      </c>
      <c r="AA102">
        <f>IF([@مفتاح_المقابل]="","",IF([@عدد_تطابقات]=0,"لا تطابق في دليل المقابل",IF([@عدد_تطابقات]&gt;1,"تطابق مكرر في الدليل","")))</f>
        <v/>
      </c>
      <c r="AB102">
        <f>IF([@عدد_تطابقات]&lt;&gt;1,"",_xlfn._xlws.XLOOKUP([@مفتاح_المقابل],tblContra[مفتاح_الحساب_المقابل],tblContra[كود_تحليلي],""))</f>
        <v/>
      </c>
      <c r="AC102">
        <f>IF(AND([@خطأ_المقابل]="",[@الحساب]&lt;&gt;"",[@كود_التصنيف]&lt;&gt;"",[@الإجمالي]&gt;0),"نعم","لا")</f>
        <v/>
      </c>
    </row>
    <row r="103">
      <c r="F103">
        <f>IF([@يؤثر_في_الرصيد]&lt;&gt;"نعم",0,IF([@حالة_السجل]="معكوسة",0,IF([@نوع_الحركة]="قبض",[@الإجمالي],0)))</f>
        <v/>
      </c>
      <c r="G103">
        <f>IF([@يؤثر_في_الرصيد]&lt;&gt;"نعم",0,IF([@حالة_السجل]="معكوسة",0,IF([@نوع_الحركة]="صرف",[@الإجمالي],IF([@نوع_الحركة]="عكس",[@الإجمالي],0))))</f>
        <v/>
      </c>
      <c r="K10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3">
        <f>[@قبل_الضريبة]+[@مبلغ_الضريبة]</f>
        <v/>
      </c>
      <c r="S103">
        <f>IF([@كود_التصنيف]="","",_xlfn._xlws.XLOOKUP([@كود_التصنيف],tblCat[كود_التصنيف],tblCat[نوع_تدفق],""))</f>
        <v/>
      </c>
      <c r="Y103">
        <f>IF([@كود_التصنيف]="","",[@كود_التصنيف]&amp;"|"&amp;[@نوع_الحركة]&amp;"|"&amp;[@كود_معالجة_ضريبية])</f>
        <v/>
      </c>
      <c r="Z103">
        <f>IF([@مفتاح_المقابل]="",0,COUNTIF(tblContra[مفتاح_الحساب_المقابل],[@مفتاح_المقابل]))</f>
        <v/>
      </c>
      <c r="AA103">
        <f>IF([@مفتاح_المقابل]="","",IF([@عدد_تطابقات]=0,"لا تطابق في دليل المقابل",IF([@عدد_تطابقات]&gt;1,"تطابق مكرر في الدليل","")))</f>
        <v/>
      </c>
      <c r="AB103">
        <f>IF([@عدد_تطابقات]&lt;&gt;1,"",_xlfn._xlws.XLOOKUP([@مفتاح_المقابل],tblContra[مفتاح_الحساب_المقابل],tblContra[كود_تحليلي],""))</f>
        <v/>
      </c>
      <c r="AC103">
        <f>IF(AND([@خطأ_المقابل]="",[@الحساب]&lt;&gt;"",[@كود_التصنيف]&lt;&gt;"",[@الإجمالي]&gt;0),"نعم","لا")</f>
        <v/>
      </c>
    </row>
    <row r="104">
      <c r="F104">
        <f>IF([@يؤثر_في_الرصيد]&lt;&gt;"نعم",0,IF([@حالة_السجل]="معكوسة",0,IF([@نوع_الحركة]="قبض",[@الإجمالي],0)))</f>
        <v/>
      </c>
      <c r="G104">
        <f>IF([@يؤثر_في_الرصيد]&lt;&gt;"نعم",0,IF([@حالة_السجل]="معكوسة",0,IF([@نوع_الحركة]="صرف",[@الإجمالي],IF([@نوع_الحركة]="عكس",[@الإجمالي],0))))</f>
        <v/>
      </c>
      <c r="K10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4">
        <f>[@قبل_الضريبة]+[@مبلغ_الضريبة]</f>
        <v/>
      </c>
      <c r="S104">
        <f>IF([@كود_التصنيف]="","",_xlfn._xlws.XLOOKUP([@كود_التصنيف],tblCat[كود_التصنيف],tblCat[نوع_تدفق],""))</f>
        <v/>
      </c>
      <c r="Y104">
        <f>IF([@كود_التصنيف]="","",[@كود_التصنيف]&amp;"|"&amp;[@نوع_الحركة]&amp;"|"&amp;[@كود_معالجة_ضريبية])</f>
        <v/>
      </c>
      <c r="Z104">
        <f>IF([@مفتاح_المقابل]="",0,COUNTIF(tblContra[مفتاح_الحساب_المقابل],[@مفتاح_المقابل]))</f>
        <v/>
      </c>
      <c r="AA104">
        <f>IF([@مفتاح_المقابل]="","",IF([@عدد_تطابقات]=0,"لا تطابق في دليل المقابل",IF([@عدد_تطابقات]&gt;1,"تطابق مكرر في الدليل","")))</f>
        <v/>
      </c>
      <c r="AB104">
        <f>IF([@عدد_تطابقات]&lt;&gt;1,"",_xlfn._xlws.XLOOKUP([@مفتاح_المقابل],tblContra[مفتاح_الحساب_المقابل],tblContra[كود_تحليلي],""))</f>
        <v/>
      </c>
      <c r="AC104">
        <f>IF(AND([@خطأ_المقابل]="",[@الحساب]&lt;&gt;"",[@كود_التصنيف]&lt;&gt;"",[@الإجمالي]&gt;0),"نعم","لا")</f>
        <v/>
      </c>
    </row>
    <row r="105">
      <c r="F105">
        <f>IF([@يؤثر_في_الرصيد]&lt;&gt;"نعم",0,IF([@حالة_السجل]="معكوسة",0,IF([@نوع_الحركة]="قبض",[@الإجمالي],0)))</f>
        <v/>
      </c>
      <c r="G105">
        <f>IF([@يؤثر_في_الرصيد]&lt;&gt;"نعم",0,IF([@حالة_السجل]="معكوسة",0,IF([@نوع_الحركة]="صرف",[@الإجمالي],IF([@نوع_الحركة]="عكس",[@الإجمالي],0))))</f>
        <v/>
      </c>
      <c r="K10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5">
        <f>[@قبل_الضريبة]+[@مبلغ_الضريبة]</f>
        <v/>
      </c>
      <c r="S105">
        <f>IF([@كود_التصنيف]="","",_xlfn._xlws.XLOOKUP([@كود_التصنيف],tblCat[كود_التصنيف],tblCat[نوع_تدفق],""))</f>
        <v/>
      </c>
      <c r="Y105">
        <f>IF([@كود_التصنيف]="","",[@كود_التصنيف]&amp;"|"&amp;[@نوع_الحركة]&amp;"|"&amp;[@كود_معالجة_ضريبية])</f>
        <v/>
      </c>
      <c r="Z105">
        <f>IF([@مفتاح_المقابل]="",0,COUNTIF(tblContra[مفتاح_الحساب_المقابل],[@مفتاح_المقابل]))</f>
        <v/>
      </c>
      <c r="AA105">
        <f>IF([@مفتاح_المقابل]="","",IF([@عدد_تطابقات]=0,"لا تطابق في دليل المقابل",IF([@عدد_تطابقات]&gt;1,"تطابق مكرر في الدليل","")))</f>
        <v/>
      </c>
      <c r="AB105">
        <f>IF([@عدد_تطابقات]&lt;&gt;1,"",_xlfn._xlws.XLOOKUP([@مفتاح_المقابل],tblContra[مفتاح_الحساب_المقابل],tblContra[كود_تحليلي],""))</f>
        <v/>
      </c>
      <c r="AC105">
        <f>IF(AND([@خطأ_المقابل]="",[@الحساب]&lt;&gt;"",[@كود_التصنيف]&lt;&gt;"",[@الإجمالي]&gt;0),"نعم","لا")</f>
        <v/>
      </c>
    </row>
    <row r="106">
      <c r="F106">
        <f>IF([@يؤثر_في_الرصيد]&lt;&gt;"نعم",0,IF([@حالة_السجل]="معكوسة",0,IF([@نوع_الحركة]="قبض",[@الإجمالي],0)))</f>
        <v/>
      </c>
      <c r="G106">
        <f>IF([@يؤثر_في_الرصيد]&lt;&gt;"نعم",0,IF([@حالة_السجل]="معكوسة",0,IF([@نوع_الحركة]="صرف",[@الإجمالي],IF([@نوع_الحركة]="عكس",[@الإجمالي],0))))</f>
        <v/>
      </c>
      <c r="K10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6">
        <f>[@قبل_الضريبة]+[@مبلغ_الضريبة]</f>
        <v/>
      </c>
      <c r="S106">
        <f>IF([@كود_التصنيف]="","",_xlfn._xlws.XLOOKUP([@كود_التصنيف],tblCat[كود_التصنيف],tblCat[نوع_تدفق],""))</f>
        <v/>
      </c>
      <c r="Y106">
        <f>IF([@كود_التصنيف]="","",[@كود_التصنيف]&amp;"|"&amp;[@نوع_الحركة]&amp;"|"&amp;[@كود_معالجة_ضريبية])</f>
        <v/>
      </c>
      <c r="Z106">
        <f>IF([@مفتاح_المقابل]="",0,COUNTIF(tblContra[مفتاح_الحساب_المقابل],[@مفتاح_المقابل]))</f>
        <v/>
      </c>
      <c r="AA106">
        <f>IF([@مفتاح_المقابل]="","",IF([@عدد_تطابقات]=0,"لا تطابق في دليل المقابل",IF([@عدد_تطابقات]&gt;1,"تطابق مكرر في الدليل","")))</f>
        <v/>
      </c>
      <c r="AB106">
        <f>IF([@عدد_تطابقات]&lt;&gt;1,"",_xlfn._xlws.XLOOKUP([@مفتاح_المقابل],tblContra[مفتاح_الحساب_المقابل],tblContra[كود_تحليلي],""))</f>
        <v/>
      </c>
      <c r="AC106">
        <f>IF(AND([@خطأ_المقابل]="",[@الحساب]&lt;&gt;"",[@كود_التصنيف]&lt;&gt;"",[@الإجمالي]&gt;0),"نعم","لا")</f>
        <v/>
      </c>
    </row>
    <row r="107">
      <c r="F107">
        <f>IF([@يؤثر_في_الرصيد]&lt;&gt;"نعم",0,IF([@حالة_السجل]="معكوسة",0,IF([@نوع_الحركة]="قبض",[@الإجمالي],0)))</f>
        <v/>
      </c>
      <c r="G107">
        <f>IF([@يؤثر_في_الرصيد]&lt;&gt;"نعم",0,IF([@حالة_السجل]="معكوسة",0,IF([@نوع_الحركة]="صرف",[@الإجمالي],IF([@نوع_الحركة]="عكس",[@الإجمالي],0))))</f>
        <v/>
      </c>
      <c r="K10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7">
        <f>[@قبل_الضريبة]+[@مبلغ_الضريبة]</f>
        <v/>
      </c>
      <c r="S107">
        <f>IF([@كود_التصنيف]="","",_xlfn._xlws.XLOOKUP([@كود_التصنيف],tblCat[كود_التصنيف],tblCat[نوع_تدفق],""))</f>
        <v/>
      </c>
      <c r="Y107">
        <f>IF([@كود_التصنيف]="","",[@كود_التصنيف]&amp;"|"&amp;[@نوع_الحركة]&amp;"|"&amp;[@كود_معالجة_ضريبية])</f>
        <v/>
      </c>
      <c r="Z107">
        <f>IF([@مفتاح_المقابل]="",0,COUNTIF(tblContra[مفتاح_الحساب_المقابل],[@مفتاح_المقابل]))</f>
        <v/>
      </c>
      <c r="AA107">
        <f>IF([@مفتاح_المقابل]="","",IF([@عدد_تطابقات]=0,"لا تطابق في دليل المقابل",IF([@عدد_تطابقات]&gt;1,"تطابق مكرر في الدليل","")))</f>
        <v/>
      </c>
      <c r="AB107">
        <f>IF([@عدد_تطابقات]&lt;&gt;1,"",_xlfn._xlws.XLOOKUP([@مفتاح_المقابل],tblContra[مفتاح_الحساب_المقابل],tblContra[كود_تحليلي],""))</f>
        <v/>
      </c>
      <c r="AC107">
        <f>IF(AND([@خطأ_المقابل]="",[@الحساب]&lt;&gt;"",[@كود_التصنيف]&lt;&gt;"",[@الإجمالي]&gt;0),"نعم","لا")</f>
        <v/>
      </c>
    </row>
    <row r="108">
      <c r="F108">
        <f>IF([@يؤثر_في_الرصيد]&lt;&gt;"نعم",0,IF([@حالة_السجل]="معكوسة",0,IF([@نوع_الحركة]="قبض",[@الإجمالي],0)))</f>
        <v/>
      </c>
      <c r="G108">
        <f>IF([@يؤثر_في_الرصيد]&lt;&gt;"نعم",0,IF([@حالة_السجل]="معكوسة",0,IF([@نوع_الحركة]="صرف",[@الإجمالي],IF([@نوع_الحركة]="عكس",[@الإجمالي],0))))</f>
        <v/>
      </c>
      <c r="K10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8">
        <f>[@قبل_الضريبة]+[@مبلغ_الضريبة]</f>
        <v/>
      </c>
      <c r="S108">
        <f>IF([@كود_التصنيف]="","",_xlfn._xlws.XLOOKUP([@كود_التصنيف],tblCat[كود_التصنيف],tblCat[نوع_تدفق],""))</f>
        <v/>
      </c>
      <c r="Y108">
        <f>IF([@كود_التصنيف]="","",[@كود_التصنيف]&amp;"|"&amp;[@نوع_الحركة]&amp;"|"&amp;[@كود_معالجة_ضريبية])</f>
        <v/>
      </c>
      <c r="Z108">
        <f>IF([@مفتاح_المقابل]="",0,COUNTIF(tblContra[مفتاح_الحساب_المقابل],[@مفتاح_المقابل]))</f>
        <v/>
      </c>
      <c r="AA108">
        <f>IF([@مفتاح_المقابل]="","",IF([@عدد_تطابقات]=0,"لا تطابق في دليل المقابل",IF([@عدد_تطابقات]&gt;1,"تطابق مكرر في الدليل","")))</f>
        <v/>
      </c>
      <c r="AB108">
        <f>IF([@عدد_تطابقات]&lt;&gt;1,"",_xlfn._xlws.XLOOKUP([@مفتاح_المقابل],tblContra[مفتاح_الحساب_المقابل],tblContra[كود_تحليلي],""))</f>
        <v/>
      </c>
      <c r="AC108">
        <f>IF(AND([@خطأ_المقابل]="",[@الحساب]&lt;&gt;"",[@كود_التصنيف]&lt;&gt;"",[@الإجمالي]&gt;0),"نعم","لا")</f>
        <v/>
      </c>
    </row>
    <row r="109">
      <c r="F109">
        <f>IF([@يؤثر_في_الرصيد]&lt;&gt;"نعم",0,IF([@حالة_السجل]="معكوسة",0,IF([@نوع_الحركة]="قبض",[@الإجمالي],0)))</f>
        <v/>
      </c>
      <c r="G109">
        <f>IF([@يؤثر_في_الرصيد]&lt;&gt;"نعم",0,IF([@حالة_السجل]="معكوسة",0,IF([@نوع_الحركة]="صرف",[@الإجمالي],IF([@نوع_الحركة]="عكس",[@الإجمالي],0))))</f>
        <v/>
      </c>
      <c r="K10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09">
        <f>[@قبل_الضريبة]+[@مبلغ_الضريبة]</f>
        <v/>
      </c>
      <c r="S109">
        <f>IF([@كود_التصنيف]="","",_xlfn._xlws.XLOOKUP([@كود_التصنيف],tblCat[كود_التصنيف],tblCat[نوع_تدفق],""))</f>
        <v/>
      </c>
      <c r="Y109">
        <f>IF([@كود_التصنيف]="","",[@كود_التصنيف]&amp;"|"&amp;[@نوع_الحركة]&amp;"|"&amp;[@كود_معالجة_ضريبية])</f>
        <v/>
      </c>
      <c r="Z109">
        <f>IF([@مفتاح_المقابل]="",0,COUNTIF(tblContra[مفتاح_الحساب_المقابل],[@مفتاح_المقابل]))</f>
        <v/>
      </c>
      <c r="AA109">
        <f>IF([@مفتاح_المقابل]="","",IF([@عدد_تطابقات]=0,"لا تطابق في دليل المقابل",IF([@عدد_تطابقات]&gt;1,"تطابق مكرر في الدليل","")))</f>
        <v/>
      </c>
      <c r="AB109">
        <f>IF([@عدد_تطابقات]&lt;&gt;1,"",_xlfn._xlws.XLOOKUP([@مفتاح_المقابل],tblContra[مفتاح_الحساب_المقابل],tblContra[كود_تحليلي],""))</f>
        <v/>
      </c>
      <c r="AC109">
        <f>IF(AND([@خطأ_المقابل]="",[@الحساب]&lt;&gt;"",[@كود_التصنيف]&lt;&gt;"",[@الإجمالي]&gt;0),"نعم","لا")</f>
        <v/>
      </c>
    </row>
    <row r="110">
      <c r="F110">
        <f>IF([@يؤثر_في_الرصيد]&lt;&gt;"نعم",0,IF([@حالة_السجل]="معكوسة",0,IF([@نوع_الحركة]="قبض",[@الإجمالي],0)))</f>
        <v/>
      </c>
      <c r="G110">
        <f>IF([@يؤثر_في_الرصيد]&lt;&gt;"نعم",0,IF([@حالة_السجل]="معكوسة",0,IF([@نوع_الحركة]="صرف",[@الإجمالي],IF([@نوع_الحركة]="عكس",[@الإجمالي],0))))</f>
        <v/>
      </c>
      <c r="K11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0">
        <f>[@قبل_الضريبة]+[@مبلغ_الضريبة]</f>
        <v/>
      </c>
      <c r="S110">
        <f>IF([@كود_التصنيف]="","",_xlfn._xlws.XLOOKUP([@كود_التصنيف],tblCat[كود_التصنيف],tblCat[نوع_تدفق],""))</f>
        <v/>
      </c>
      <c r="Y110">
        <f>IF([@كود_التصنيف]="","",[@كود_التصنيف]&amp;"|"&amp;[@نوع_الحركة]&amp;"|"&amp;[@كود_معالجة_ضريبية])</f>
        <v/>
      </c>
      <c r="Z110">
        <f>IF([@مفتاح_المقابل]="",0,COUNTIF(tblContra[مفتاح_الحساب_المقابل],[@مفتاح_المقابل]))</f>
        <v/>
      </c>
      <c r="AA110">
        <f>IF([@مفتاح_المقابل]="","",IF([@عدد_تطابقات]=0,"لا تطابق في دليل المقابل",IF([@عدد_تطابقات]&gt;1,"تطابق مكرر في الدليل","")))</f>
        <v/>
      </c>
      <c r="AB110">
        <f>IF([@عدد_تطابقات]&lt;&gt;1,"",_xlfn._xlws.XLOOKUP([@مفتاح_المقابل],tblContra[مفتاح_الحساب_المقابل],tblContra[كود_تحليلي],""))</f>
        <v/>
      </c>
      <c r="AC110">
        <f>IF(AND([@خطأ_المقابل]="",[@الحساب]&lt;&gt;"",[@كود_التصنيف]&lt;&gt;"",[@الإجمالي]&gt;0),"نعم","لا")</f>
        <v/>
      </c>
    </row>
    <row r="111">
      <c r="F111">
        <f>IF([@يؤثر_في_الرصيد]&lt;&gt;"نعم",0,IF([@حالة_السجل]="معكوسة",0,IF([@نوع_الحركة]="قبض",[@الإجمالي],0)))</f>
        <v/>
      </c>
      <c r="G111">
        <f>IF([@يؤثر_في_الرصيد]&lt;&gt;"نعم",0,IF([@حالة_السجل]="معكوسة",0,IF([@نوع_الحركة]="صرف",[@الإجمالي],IF([@نوع_الحركة]="عكس",[@الإجمالي],0))))</f>
        <v/>
      </c>
      <c r="K11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1">
        <f>[@قبل_الضريبة]+[@مبلغ_الضريبة]</f>
        <v/>
      </c>
      <c r="S111">
        <f>IF([@كود_التصنيف]="","",_xlfn._xlws.XLOOKUP([@كود_التصنيف],tblCat[كود_التصنيف],tblCat[نوع_تدفق],""))</f>
        <v/>
      </c>
      <c r="Y111">
        <f>IF([@كود_التصنيف]="","",[@كود_التصنيف]&amp;"|"&amp;[@نوع_الحركة]&amp;"|"&amp;[@كود_معالجة_ضريبية])</f>
        <v/>
      </c>
      <c r="Z111">
        <f>IF([@مفتاح_المقابل]="",0,COUNTIF(tblContra[مفتاح_الحساب_المقابل],[@مفتاح_المقابل]))</f>
        <v/>
      </c>
      <c r="AA111">
        <f>IF([@مفتاح_المقابل]="","",IF([@عدد_تطابقات]=0,"لا تطابق في دليل المقابل",IF([@عدد_تطابقات]&gt;1,"تطابق مكرر في الدليل","")))</f>
        <v/>
      </c>
      <c r="AB111">
        <f>IF([@عدد_تطابقات]&lt;&gt;1,"",_xlfn._xlws.XLOOKUP([@مفتاح_المقابل],tblContra[مفتاح_الحساب_المقابل],tblContra[كود_تحليلي],""))</f>
        <v/>
      </c>
      <c r="AC111">
        <f>IF(AND([@خطأ_المقابل]="",[@الحساب]&lt;&gt;"",[@كود_التصنيف]&lt;&gt;"",[@الإجمالي]&gt;0),"نعم","لا")</f>
        <v/>
      </c>
    </row>
    <row r="112">
      <c r="F112">
        <f>IF([@يؤثر_في_الرصيد]&lt;&gt;"نعم",0,IF([@حالة_السجل]="معكوسة",0,IF([@نوع_الحركة]="قبض",[@الإجمالي],0)))</f>
        <v/>
      </c>
      <c r="G112">
        <f>IF([@يؤثر_في_الرصيد]&lt;&gt;"نعم",0,IF([@حالة_السجل]="معكوسة",0,IF([@نوع_الحركة]="صرف",[@الإجمالي],IF([@نوع_الحركة]="عكس",[@الإجمالي],0))))</f>
        <v/>
      </c>
      <c r="K11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2">
        <f>[@قبل_الضريبة]+[@مبلغ_الضريبة]</f>
        <v/>
      </c>
      <c r="S112">
        <f>IF([@كود_التصنيف]="","",_xlfn._xlws.XLOOKUP([@كود_التصنيف],tblCat[كود_التصنيف],tblCat[نوع_تدفق],""))</f>
        <v/>
      </c>
      <c r="Y112">
        <f>IF([@كود_التصنيف]="","",[@كود_التصنيف]&amp;"|"&amp;[@نوع_الحركة]&amp;"|"&amp;[@كود_معالجة_ضريبية])</f>
        <v/>
      </c>
      <c r="Z112">
        <f>IF([@مفتاح_المقابل]="",0,COUNTIF(tblContra[مفتاح_الحساب_المقابل],[@مفتاح_المقابل]))</f>
        <v/>
      </c>
      <c r="AA112">
        <f>IF([@مفتاح_المقابل]="","",IF([@عدد_تطابقات]=0,"لا تطابق في دليل المقابل",IF([@عدد_تطابقات]&gt;1,"تطابق مكرر في الدليل","")))</f>
        <v/>
      </c>
      <c r="AB112">
        <f>IF([@عدد_تطابقات]&lt;&gt;1,"",_xlfn._xlws.XLOOKUP([@مفتاح_المقابل],tblContra[مفتاح_الحساب_المقابل],tblContra[كود_تحليلي],""))</f>
        <v/>
      </c>
      <c r="AC112">
        <f>IF(AND([@خطأ_المقابل]="",[@الحساب]&lt;&gt;"",[@كود_التصنيف]&lt;&gt;"",[@الإجمالي]&gt;0),"نعم","لا")</f>
        <v/>
      </c>
    </row>
    <row r="113">
      <c r="F113">
        <f>IF([@يؤثر_في_الرصيد]&lt;&gt;"نعم",0,IF([@حالة_السجل]="معكوسة",0,IF([@نوع_الحركة]="قبض",[@الإجمالي],0)))</f>
        <v/>
      </c>
      <c r="G113">
        <f>IF([@يؤثر_في_الرصيد]&lt;&gt;"نعم",0,IF([@حالة_السجل]="معكوسة",0,IF([@نوع_الحركة]="صرف",[@الإجمالي],IF([@نوع_الحركة]="عكس",[@الإجمالي],0))))</f>
        <v/>
      </c>
      <c r="K11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3">
        <f>[@قبل_الضريبة]+[@مبلغ_الضريبة]</f>
        <v/>
      </c>
      <c r="S113">
        <f>IF([@كود_التصنيف]="","",_xlfn._xlws.XLOOKUP([@كود_التصنيف],tblCat[كود_التصنيف],tblCat[نوع_تدفق],""))</f>
        <v/>
      </c>
      <c r="Y113">
        <f>IF([@كود_التصنيف]="","",[@كود_التصنيف]&amp;"|"&amp;[@نوع_الحركة]&amp;"|"&amp;[@كود_معالجة_ضريبية])</f>
        <v/>
      </c>
      <c r="Z113">
        <f>IF([@مفتاح_المقابل]="",0,COUNTIF(tblContra[مفتاح_الحساب_المقابل],[@مفتاح_المقابل]))</f>
        <v/>
      </c>
      <c r="AA113">
        <f>IF([@مفتاح_المقابل]="","",IF([@عدد_تطابقات]=0,"لا تطابق في دليل المقابل",IF([@عدد_تطابقات]&gt;1,"تطابق مكرر في الدليل","")))</f>
        <v/>
      </c>
      <c r="AB113">
        <f>IF([@عدد_تطابقات]&lt;&gt;1,"",_xlfn._xlws.XLOOKUP([@مفتاح_المقابل],tblContra[مفتاح_الحساب_المقابل],tblContra[كود_تحليلي],""))</f>
        <v/>
      </c>
      <c r="AC113">
        <f>IF(AND([@خطأ_المقابل]="",[@الحساب]&lt;&gt;"",[@كود_التصنيف]&lt;&gt;"",[@الإجمالي]&gt;0),"نعم","لا")</f>
        <v/>
      </c>
    </row>
    <row r="114">
      <c r="F114">
        <f>IF([@يؤثر_في_الرصيد]&lt;&gt;"نعم",0,IF([@حالة_السجل]="معكوسة",0,IF([@نوع_الحركة]="قبض",[@الإجمالي],0)))</f>
        <v/>
      </c>
      <c r="G114">
        <f>IF([@يؤثر_في_الرصيد]&lt;&gt;"نعم",0,IF([@حالة_السجل]="معكوسة",0,IF([@نوع_الحركة]="صرف",[@الإجمالي],IF([@نوع_الحركة]="عكس",[@الإجمالي],0))))</f>
        <v/>
      </c>
      <c r="K11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4">
        <f>[@قبل_الضريبة]+[@مبلغ_الضريبة]</f>
        <v/>
      </c>
      <c r="S114">
        <f>IF([@كود_التصنيف]="","",_xlfn._xlws.XLOOKUP([@كود_التصنيف],tblCat[كود_التصنيف],tblCat[نوع_تدفق],""))</f>
        <v/>
      </c>
      <c r="Y114">
        <f>IF([@كود_التصنيف]="","",[@كود_التصنيف]&amp;"|"&amp;[@نوع_الحركة]&amp;"|"&amp;[@كود_معالجة_ضريبية])</f>
        <v/>
      </c>
      <c r="Z114">
        <f>IF([@مفتاح_المقابل]="",0,COUNTIF(tblContra[مفتاح_الحساب_المقابل],[@مفتاح_المقابل]))</f>
        <v/>
      </c>
      <c r="AA114">
        <f>IF([@مفتاح_المقابل]="","",IF([@عدد_تطابقات]=0,"لا تطابق في دليل المقابل",IF([@عدد_تطابقات]&gt;1,"تطابق مكرر في الدليل","")))</f>
        <v/>
      </c>
      <c r="AB114">
        <f>IF([@عدد_تطابقات]&lt;&gt;1,"",_xlfn._xlws.XLOOKUP([@مفتاح_المقابل],tblContra[مفتاح_الحساب_المقابل],tblContra[كود_تحليلي],""))</f>
        <v/>
      </c>
      <c r="AC114">
        <f>IF(AND([@خطأ_المقابل]="",[@الحساب]&lt;&gt;"",[@كود_التصنيف]&lt;&gt;"",[@الإجمالي]&gt;0),"نعم","لا")</f>
        <v/>
      </c>
    </row>
    <row r="115">
      <c r="F115">
        <f>IF([@يؤثر_في_الرصيد]&lt;&gt;"نعم",0,IF([@حالة_السجل]="معكوسة",0,IF([@نوع_الحركة]="قبض",[@الإجمالي],0)))</f>
        <v/>
      </c>
      <c r="G115">
        <f>IF([@يؤثر_في_الرصيد]&lt;&gt;"نعم",0,IF([@حالة_السجل]="معكوسة",0,IF([@نوع_الحركة]="صرف",[@الإجمالي],IF([@نوع_الحركة]="عكس",[@الإجمالي],0))))</f>
        <v/>
      </c>
      <c r="K11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5">
        <f>[@قبل_الضريبة]+[@مبلغ_الضريبة]</f>
        <v/>
      </c>
      <c r="S115">
        <f>IF([@كود_التصنيف]="","",_xlfn._xlws.XLOOKUP([@كود_التصنيف],tblCat[كود_التصنيف],tblCat[نوع_تدفق],""))</f>
        <v/>
      </c>
      <c r="Y115">
        <f>IF([@كود_التصنيف]="","",[@كود_التصنيف]&amp;"|"&amp;[@نوع_الحركة]&amp;"|"&amp;[@كود_معالجة_ضريبية])</f>
        <v/>
      </c>
      <c r="Z115">
        <f>IF([@مفتاح_المقابل]="",0,COUNTIF(tblContra[مفتاح_الحساب_المقابل],[@مفتاح_المقابل]))</f>
        <v/>
      </c>
      <c r="AA115">
        <f>IF([@مفتاح_المقابل]="","",IF([@عدد_تطابقات]=0,"لا تطابق في دليل المقابل",IF([@عدد_تطابقات]&gt;1,"تطابق مكرر في الدليل","")))</f>
        <v/>
      </c>
      <c r="AB115">
        <f>IF([@عدد_تطابقات]&lt;&gt;1,"",_xlfn._xlws.XLOOKUP([@مفتاح_المقابل],tblContra[مفتاح_الحساب_المقابل],tblContra[كود_تحليلي],""))</f>
        <v/>
      </c>
      <c r="AC115">
        <f>IF(AND([@خطأ_المقابل]="",[@الحساب]&lt;&gt;"",[@كود_التصنيف]&lt;&gt;"",[@الإجمالي]&gt;0),"نعم","لا")</f>
        <v/>
      </c>
    </row>
    <row r="116">
      <c r="F116">
        <f>IF([@يؤثر_في_الرصيد]&lt;&gt;"نعم",0,IF([@حالة_السجل]="معكوسة",0,IF([@نوع_الحركة]="قبض",[@الإجمالي],0)))</f>
        <v/>
      </c>
      <c r="G116">
        <f>IF([@يؤثر_في_الرصيد]&lt;&gt;"نعم",0,IF([@حالة_السجل]="معكوسة",0,IF([@نوع_الحركة]="صرف",[@الإجمالي],IF([@نوع_الحركة]="عكس",[@الإجمالي],0))))</f>
        <v/>
      </c>
      <c r="K11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6">
        <f>[@قبل_الضريبة]+[@مبلغ_الضريبة]</f>
        <v/>
      </c>
      <c r="S116">
        <f>IF([@كود_التصنيف]="","",_xlfn._xlws.XLOOKUP([@كود_التصنيف],tblCat[كود_التصنيف],tblCat[نوع_تدفق],""))</f>
        <v/>
      </c>
      <c r="Y116">
        <f>IF([@كود_التصنيف]="","",[@كود_التصنيف]&amp;"|"&amp;[@نوع_الحركة]&amp;"|"&amp;[@كود_معالجة_ضريبية])</f>
        <v/>
      </c>
      <c r="Z116">
        <f>IF([@مفتاح_المقابل]="",0,COUNTIF(tblContra[مفتاح_الحساب_المقابل],[@مفتاح_المقابل]))</f>
        <v/>
      </c>
      <c r="AA116">
        <f>IF([@مفتاح_المقابل]="","",IF([@عدد_تطابقات]=0,"لا تطابق في دليل المقابل",IF([@عدد_تطابقات]&gt;1,"تطابق مكرر في الدليل","")))</f>
        <v/>
      </c>
      <c r="AB116">
        <f>IF([@عدد_تطابقات]&lt;&gt;1,"",_xlfn._xlws.XLOOKUP([@مفتاح_المقابل],tblContra[مفتاح_الحساب_المقابل],tblContra[كود_تحليلي],""))</f>
        <v/>
      </c>
      <c r="AC116">
        <f>IF(AND([@خطأ_المقابل]="",[@الحساب]&lt;&gt;"",[@كود_التصنيف]&lt;&gt;"",[@الإجمالي]&gt;0),"نعم","لا")</f>
        <v/>
      </c>
    </row>
    <row r="117">
      <c r="F117">
        <f>IF([@يؤثر_في_الرصيد]&lt;&gt;"نعم",0,IF([@حالة_السجل]="معكوسة",0,IF([@نوع_الحركة]="قبض",[@الإجمالي],0)))</f>
        <v/>
      </c>
      <c r="G117">
        <f>IF([@يؤثر_في_الرصيد]&lt;&gt;"نعم",0,IF([@حالة_السجل]="معكوسة",0,IF([@نوع_الحركة]="صرف",[@الإجمالي],IF([@نوع_الحركة]="عكس",[@الإجمالي],0))))</f>
        <v/>
      </c>
      <c r="K11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7">
        <f>[@قبل_الضريبة]+[@مبلغ_الضريبة]</f>
        <v/>
      </c>
      <c r="S117">
        <f>IF([@كود_التصنيف]="","",_xlfn._xlws.XLOOKUP([@كود_التصنيف],tblCat[كود_التصنيف],tblCat[نوع_تدفق],""))</f>
        <v/>
      </c>
      <c r="Y117">
        <f>IF([@كود_التصنيف]="","",[@كود_التصنيف]&amp;"|"&amp;[@نوع_الحركة]&amp;"|"&amp;[@كود_معالجة_ضريبية])</f>
        <v/>
      </c>
      <c r="Z117">
        <f>IF([@مفتاح_المقابل]="",0,COUNTIF(tblContra[مفتاح_الحساب_المقابل],[@مفتاح_المقابل]))</f>
        <v/>
      </c>
      <c r="AA117">
        <f>IF([@مفتاح_المقابل]="","",IF([@عدد_تطابقات]=0,"لا تطابق في دليل المقابل",IF([@عدد_تطابقات]&gt;1,"تطابق مكرر في الدليل","")))</f>
        <v/>
      </c>
      <c r="AB117">
        <f>IF([@عدد_تطابقات]&lt;&gt;1,"",_xlfn._xlws.XLOOKUP([@مفتاح_المقابل],tblContra[مفتاح_الحساب_المقابل],tblContra[كود_تحليلي],""))</f>
        <v/>
      </c>
      <c r="AC117">
        <f>IF(AND([@خطأ_المقابل]="",[@الحساب]&lt;&gt;"",[@كود_التصنيف]&lt;&gt;"",[@الإجمالي]&gt;0),"نعم","لا")</f>
        <v/>
      </c>
    </row>
    <row r="118">
      <c r="F118">
        <f>IF([@يؤثر_في_الرصيد]&lt;&gt;"نعم",0,IF([@حالة_السجل]="معكوسة",0,IF([@نوع_الحركة]="قبض",[@الإجمالي],0)))</f>
        <v/>
      </c>
      <c r="G118">
        <f>IF([@يؤثر_في_الرصيد]&lt;&gt;"نعم",0,IF([@حالة_السجل]="معكوسة",0,IF([@نوع_الحركة]="صرف",[@الإجمالي],IF([@نوع_الحركة]="عكس",[@الإجمالي],0))))</f>
        <v/>
      </c>
      <c r="K11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8">
        <f>[@قبل_الضريبة]+[@مبلغ_الضريبة]</f>
        <v/>
      </c>
      <c r="S118">
        <f>IF([@كود_التصنيف]="","",_xlfn._xlws.XLOOKUP([@كود_التصنيف],tblCat[كود_التصنيف],tblCat[نوع_تدفق],""))</f>
        <v/>
      </c>
      <c r="Y118">
        <f>IF([@كود_التصنيف]="","",[@كود_التصنيف]&amp;"|"&amp;[@نوع_الحركة]&amp;"|"&amp;[@كود_معالجة_ضريبية])</f>
        <v/>
      </c>
      <c r="Z118">
        <f>IF([@مفتاح_المقابل]="",0,COUNTIF(tblContra[مفتاح_الحساب_المقابل],[@مفتاح_المقابل]))</f>
        <v/>
      </c>
      <c r="AA118">
        <f>IF([@مفتاح_المقابل]="","",IF([@عدد_تطابقات]=0,"لا تطابق في دليل المقابل",IF([@عدد_تطابقات]&gt;1,"تطابق مكرر في الدليل","")))</f>
        <v/>
      </c>
      <c r="AB118">
        <f>IF([@عدد_تطابقات]&lt;&gt;1,"",_xlfn._xlws.XLOOKUP([@مفتاح_المقابل],tblContra[مفتاح_الحساب_المقابل],tblContra[كود_تحليلي],""))</f>
        <v/>
      </c>
      <c r="AC118">
        <f>IF(AND([@خطأ_المقابل]="",[@الحساب]&lt;&gt;"",[@كود_التصنيف]&lt;&gt;"",[@الإجمالي]&gt;0),"نعم","لا")</f>
        <v/>
      </c>
    </row>
    <row r="119">
      <c r="F119">
        <f>IF([@يؤثر_في_الرصيد]&lt;&gt;"نعم",0,IF([@حالة_السجل]="معكوسة",0,IF([@نوع_الحركة]="قبض",[@الإجمالي],0)))</f>
        <v/>
      </c>
      <c r="G119">
        <f>IF([@يؤثر_في_الرصيد]&lt;&gt;"نعم",0,IF([@حالة_السجل]="معكوسة",0,IF([@نوع_الحركة]="صرف",[@الإجمالي],IF([@نوع_الحركة]="عكس",[@الإجمالي],0))))</f>
        <v/>
      </c>
      <c r="K11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19">
        <f>[@قبل_الضريبة]+[@مبلغ_الضريبة]</f>
        <v/>
      </c>
      <c r="S119">
        <f>IF([@كود_التصنيف]="","",_xlfn._xlws.XLOOKUP([@كود_التصنيف],tblCat[كود_التصنيف],tblCat[نوع_تدفق],""))</f>
        <v/>
      </c>
      <c r="Y119">
        <f>IF([@كود_التصنيف]="","",[@كود_التصنيف]&amp;"|"&amp;[@نوع_الحركة]&amp;"|"&amp;[@كود_معالجة_ضريبية])</f>
        <v/>
      </c>
      <c r="Z119">
        <f>IF([@مفتاح_المقابل]="",0,COUNTIF(tblContra[مفتاح_الحساب_المقابل],[@مفتاح_المقابل]))</f>
        <v/>
      </c>
      <c r="AA119">
        <f>IF([@مفتاح_المقابل]="","",IF([@عدد_تطابقات]=0,"لا تطابق في دليل المقابل",IF([@عدد_تطابقات]&gt;1,"تطابق مكرر في الدليل","")))</f>
        <v/>
      </c>
      <c r="AB119">
        <f>IF([@عدد_تطابقات]&lt;&gt;1,"",_xlfn._xlws.XLOOKUP([@مفتاح_المقابل],tblContra[مفتاح_الحساب_المقابل],tblContra[كود_تحليلي],""))</f>
        <v/>
      </c>
      <c r="AC119">
        <f>IF(AND([@خطأ_المقابل]="",[@الحساب]&lt;&gt;"",[@كود_التصنيف]&lt;&gt;"",[@الإجمالي]&gt;0),"نعم","لا")</f>
        <v/>
      </c>
    </row>
    <row r="120">
      <c r="F120">
        <f>IF([@يؤثر_في_الرصيد]&lt;&gt;"نعم",0,IF([@حالة_السجل]="معكوسة",0,IF([@نوع_الحركة]="قبض",[@الإجمالي],0)))</f>
        <v/>
      </c>
      <c r="G120">
        <f>IF([@يؤثر_في_الرصيد]&lt;&gt;"نعم",0,IF([@حالة_السجل]="معكوسة",0,IF([@نوع_الحركة]="صرف",[@الإجمالي],IF([@نوع_الحركة]="عكس",[@الإجمالي],0))))</f>
        <v/>
      </c>
      <c r="K12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0">
        <f>[@قبل_الضريبة]+[@مبلغ_الضريبة]</f>
        <v/>
      </c>
      <c r="S120">
        <f>IF([@كود_التصنيف]="","",_xlfn._xlws.XLOOKUP([@كود_التصنيف],tblCat[كود_التصنيف],tblCat[نوع_تدفق],""))</f>
        <v/>
      </c>
      <c r="Y120">
        <f>IF([@كود_التصنيف]="","",[@كود_التصنيف]&amp;"|"&amp;[@نوع_الحركة]&amp;"|"&amp;[@كود_معالجة_ضريبية])</f>
        <v/>
      </c>
      <c r="Z120">
        <f>IF([@مفتاح_المقابل]="",0,COUNTIF(tblContra[مفتاح_الحساب_المقابل],[@مفتاح_المقابل]))</f>
        <v/>
      </c>
      <c r="AA120">
        <f>IF([@مفتاح_المقابل]="","",IF([@عدد_تطابقات]=0,"لا تطابق في دليل المقابل",IF([@عدد_تطابقات]&gt;1,"تطابق مكرر في الدليل","")))</f>
        <v/>
      </c>
      <c r="AB120">
        <f>IF([@عدد_تطابقات]&lt;&gt;1,"",_xlfn._xlws.XLOOKUP([@مفتاح_المقابل],tblContra[مفتاح_الحساب_المقابل],tblContra[كود_تحليلي],""))</f>
        <v/>
      </c>
      <c r="AC120">
        <f>IF(AND([@خطأ_المقابل]="",[@الحساب]&lt;&gt;"",[@كود_التصنيف]&lt;&gt;"",[@الإجمالي]&gt;0),"نعم","لا")</f>
        <v/>
      </c>
    </row>
    <row r="121">
      <c r="F121">
        <f>IF([@يؤثر_في_الرصيد]&lt;&gt;"نعم",0,IF([@حالة_السجل]="معكوسة",0,IF([@نوع_الحركة]="قبض",[@الإجمالي],0)))</f>
        <v/>
      </c>
      <c r="G121">
        <f>IF([@يؤثر_في_الرصيد]&lt;&gt;"نعم",0,IF([@حالة_السجل]="معكوسة",0,IF([@نوع_الحركة]="صرف",[@الإجمالي],IF([@نوع_الحركة]="عكس",[@الإجمالي],0))))</f>
        <v/>
      </c>
      <c r="K12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1">
        <f>[@قبل_الضريبة]+[@مبلغ_الضريبة]</f>
        <v/>
      </c>
      <c r="S121">
        <f>IF([@كود_التصنيف]="","",_xlfn._xlws.XLOOKUP([@كود_التصنيف],tblCat[كود_التصنيف],tblCat[نوع_تدفق],""))</f>
        <v/>
      </c>
      <c r="Y121">
        <f>IF([@كود_التصنيف]="","",[@كود_التصنيف]&amp;"|"&amp;[@نوع_الحركة]&amp;"|"&amp;[@كود_معالجة_ضريبية])</f>
        <v/>
      </c>
      <c r="Z121">
        <f>IF([@مفتاح_المقابل]="",0,COUNTIF(tblContra[مفتاح_الحساب_المقابل],[@مفتاح_المقابل]))</f>
        <v/>
      </c>
      <c r="AA121">
        <f>IF([@مفتاح_المقابل]="","",IF([@عدد_تطابقات]=0,"لا تطابق في دليل المقابل",IF([@عدد_تطابقات]&gt;1,"تطابق مكرر في الدليل","")))</f>
        <v/>
      </c>
      <c r="AB121">
        <f>IF([@عدد_تطابقات]&lt;&gt;1,"",_xlfn._xlws.XLOOKUP([@مفتاح_المقابل],tblContra[مفتاح_الحساب_المقابل],tblContra[كود_تحليلي],""))</f>
        <v/>
      </c>
      <c r="AC121">
        <f>IF(AND([@خطأ_المقابل]="",[@الحساب]&lt;&gt;"",[@كود_التصنيف]&lt;&gt;"",[@الإجمالي]&gt;0),"نعم","لا")</f>
        <v/>
      </c>
    </row>
    <row r="122">
      <c r="F122">
        <f>IF([@يؤثر_في_الرصيد]&lt;&gt;"نعم",0,IF([@حالة_السجل]="معكوسة",0,IF([@نوع_الحركة]="قبض",[@الإجمالي],0)))</f>
        <v/>
      </c>
      <c r="G122">
        <f>IF([@يؤثر_في_الرصيد]&lt;&gt;"نعم",0,IF([@حالة_السجل]="معكوسة",0,IF([@نوع_الحركة]="صرف",[@الإجمالي],IF([@نوع_الحركة]="عكس",[@الإجمالي],0))))</f>
        <v/>
      </c>
      <c r="K12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2">
        <f>[@قبل_الضريبة]+[@مبلغ_الضريبة]</f>
        <v/>
      </c>
      <c r="S122">
        <f>IF([@كود_التصنيف]="","",_xlfn._xlws.XLOOKUP([@كود_التصنيف],tblCat[كود_التصنيف],tblCat[نوع_تدفق],""))</f>
        <v/>
      </c>
      <c r="Y122">
        <f>IF([@كود_التصنيف]="","",[@كود_التصنيف]&amp;"|"&amp;[@نوع_الحركة]&amp;"|"&amp;[@كود_معالجة_ضريبية])</f>
        <v/>
      </c>
      <c r="Z122">
        <f>IF([@مفتاح_المقابل]="",0,COUNTIF(tblContra[مفتاح_الحساب_المقابل],[@مفتاح_المقابل]))</f>
        <v/>
      </c>
      <c r="AA122">
        <f>IF([@مفتاح_المقابل]="","",IF([@عدد_تطابقات]=0,"لا تطابق في دليل المقابل",IF([@عدد_تطابقات]&gt;1,"تطابق مكرر في الدليل","")))</f>
        <v/>
      </c>
      <c r="AB122">
        <f>IF([@عدد_تطابقات]&lt;&gt;1,"",_xlfn._xlws.XLOOKUP([@مفتاح_المقابل],tblContra[مفتاح_الحساب_المقابل],tblContra[كود_تحليلي],""))</f>
        <v/>
      </c>
      <c r="AC122">
        <f>IF(AND([@خطأ_المقابل]="",[@الحساب]&lt;&gt;"",[@كود_التصنيف]&lt;&gt;"",[@الإجمالي]&gt;0),"نعم","لا")</f>
        <v/>
      </c>
    </row>
    <row r="123">
      <c r="F123">
        <f>IF([@يؤثر_في_الرصيد]&lt;&gt;"نعم",0,IF([@حالة_السجل]="معكوسة",0,IF([@نوع_الحركة]="قبض",[@الإجمالي],0)))</f>
        <v/>
      </c>
      <c r="G123">
        <f>IF([@يؤثر_في_الرصيد]&lt;&gt;"نعم",0,IF([@حالة_السجل]="معكوسة",0,IF([@نوع_الحركة]="صرف",[@الإجمالي],IF([@نوع_الحركة]="عكس",[@الإجمالي],0))))</f>
        <v/>
      </c>
      <c r="K12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3">
        <f>[@قبل_الضريبة]+[@مبلغ_الضريبة]</f>
        <v/>
      </c>
      <c r="S123">
        <f>IF([@كود_التصنيف]="","",_xlfn._xlws.XLOOKUP([@كود_التصنيف],tblCat[كود_التصنيف],tblCat[نوع_تدفق],""))</f>
        <v/>
      </c>
      <c r="Y123">
        <f>IF([@كود_التصنيف]="","",[@كود_التصنيف]&amp;"|"&amp;[@نوع_الحركة]&amp;"|"&amp;[@كود_معالجة_ضريبية])</f>
        <v/>
      </c>
      <c r="Z123">
        <f>IF([@مفتاح_المقابل]="",0,COUNTIF(tblContra[مفتاح_الحساب_المقابل],[@مفتاح_المقابل]))</f>
        <v/>
      </c>
      <c r="AA123">
        <f>IF([@مفتاح_المقابل]="","",IF([@عدد_تطابقات]=0,"لا تطابق في دليل المقابل",IF([@عدد_تطابقات]&gt;1,"تطابق مكرر في الدليل","")))</f>
        <v/>
      </c>
      <c r="AB123">
        <f>IF([@عدد_تطابقات]&lt;&gt;1,"",_xlfn._xlws.XLOOKUP([@مفتاح_المقابل],tblContra[مفتاح_الحساب_المقابل],tblContra[كود_تحليلي],""))</f>
        <v/>
      </c>
      <c r="AC123">
        <f>IF(AND([@خطأ_المقابل]="",[@الحساب]&lt;&gt;"",[@كود_التصنيف]&lt;&gt;"",[@الإجمالي]&gt;0),"نعم","لا")</f>
        <v/>
      </c>
    </row>
    <row r="124">
      <c r="F124">
        <f>IF([@يؤثر_في_الرصيد]&lt;&gt;"نعم",0,IF([@حالة_السجل]="معكوسة",0,IF([@نوع_الحركة]="قبض",[@الإجمالي],0)))</f>
        <v/>
      </c>
      <c r="G124">
        <f>IF([@يؤثر_في_الرصيد]&lt;&gt;"نعم",0,IF([@حالة_السجل]="معكوسة",0,IF([@نوع_الحركة]="صرف",[@الإجمالي],IF([@نوع_الحركة]="عكس",[@الإجمالي],0))))</f>
        <v/>
      </c>
      <c r="K12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4">
        <f>[@قبل_الضريبة]+[@مبلغ_الضريبة]</f>
        <v/>
      </c>
      <c r="S124">
        <f>IF([@كود_التصنيف]="","",_xlfn._xlws.XLOOKUP([@كود_التصنيف],tblCat[كود_التصنيف],tblCat[نوع_تدفق],""))</f>
        <v/>
      </c>
      <c r="Y124">
        <f>IF([@كود_التصنيف]="","",[@كود_التصنيف]&amp;"|"&amp;[@نوع_الحركة]&amp;"|"&amp;[@كود_معالجة_ضريبية])</f>
        <v/>
      </c>
      <c r="Z124">
        <f>IF([@مفتاح_المقابل]="",0,COUNTIF(tblContra[مفتاح_الحساب_المقابل],[@مفتاح_المقابل]))</f>
        <v/>
      </c>
      <c r="AA124">
        <f>IF([@مفتاح_المقابل]="","",IF([@عدد_تطابقات]=0,"لا تطابق في دليل المقابل",IF([@عدد_تطابقات]&gt;1,"تطابق مكرر في الدليل","")))</f>
        <v/>
      </c>
      <c r="AB124">
        <f>IF([@عدد_تطابقات]&lt;&gt;1,"",_xlfn._xlws.XLOOKUP([@مفتاح_المقابل],tblContra[مفتاح_الحساب_المقابل],tblContra[كود_تحليلي],""))</f>
        <v/>
      </c>
      <c r="AC124">
        <f>IF(AND([@خطأ_المقابل]="",[@الحساب]&lt;&gt;"",[@كود_التصنيف]&lt;&gt;"",[@الإجمالي]&gt;0),"نعم","لا")</f>
        <v/>
      </c>
    </row>
    <row r="125">
      <c r="F125">
        <f>IF([@يؤثر_في_الرصيد]&lt;&gt;"نعم",0,IF([@حالة_السجل]="معكوسة",0,IF([@نوع_الحركة]="قبض",[@الإجمالي],0)))</f>
        <v/>
      </c>
      <c r="G125">
        <f>IF([@يؤثر_في_الرصيد]&lt;&gt;"نعم",0,IF([@حالة_السجل]="معكوسة",0,IF([@نوع_الحركة]="صرف",[@الإجمالي],IF([@نوع_الحركة]="عكس",[@الإجمالي],0))))</f>
        <v/>
      </c>
      <c r="K12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5">
        <f>[@قبل_الضريبة]+[@مبلغ_الضريبة]</f>
        <v/>
      </c>
      <c r="S125">
        <f>IF([@كود_التصنيف]="","",_xlfn._xlws.XLOOKUP([@كود_التصنيف],tblCat[كود_التصنيف],tblCat[نوع_تدفق],""))</f>
        <v/>
      </c>
      <c r="Y125">
        <f>IF([@كود_التصنيف]="","",[@كود_التصنيف]&amp;"|"&amp;[@نوع_الحركة]&amp;"|"&amp;[@كود_معالجة_ضريبية])</f>
        <v/>
      </c>
      <c r="Z125">
        <f>IF([@مفتاح_المقابل]="",0,COUNTIF(tblContra[مفتاح_الحساب_المقابل],[@مفتاح_المقابل]))</f>
        <v/>
      </c>
      <c r="AA125">
        <f>IF([@مفتاح_المقابل]="","",IF([@عدد_تطابقات]=0,"لا تطابق في دليل المقابل",IF([@عدد_تطابقات]&gt;1,"تطابق مكرر في الدليل","")))</f>
        <v/>
      </c>
      <c r="AB125">
        <f>IF([@عدد_تطابقات]&lt;&gt;1,"",_xlfn._xlws.XLOOKUP([@مفتاح_المقابل],tblContra[مفتاح_الحساب_المقابل],tblContra[كود_تحليلي],""))</f>
        <v/>
      </c>
      <c r="AC125">
        <f>IF(AND([@خطأ_المقابل]="",[@الحساب]&lt;&gt;"",[@كود_التصنيف]&lt;&gt;"",[@الإجمالي]&gt;0),"نعم","لا")</f>
        <v/>
      </c>
    </row>
    <row r="126">
      <c r="F126">
        <f>IF([@يؤثر_في_الرصيد]&lt;&gt;"نعم",0,IF([@حالة_السجل]="معكوسة",0,IF([@نوع_الحركة]="قبض",[@الإجمالي],0)))</f>
        <v/>
      </c>
      <c r="G126">
        <f>IF([@يؤثر_في_الرصيد]&lt;&gt;"نعم",0,IF([@حالة_السجل]="معكوسة",0,IF([@نوع_الحركة]="صرف",[@الإجمالي],IF([@نوع_الحركة]="عكس",[@الإجمالي],0))))</f>
        <v/>
      </c>
      <c r="K12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6">
        <f>[@قبل_الضريبة]+[@مبلغ_الضريبة]</f>
        <v/>
      </c>
      <c r="S126">
        <f>IF([@كود_التصنيف]="","",_xlfn._xlws.XLOOKUP([@كود_التصنيف],tblCat[كود_التصنيف],tblCat[نوع_تدفق],""))</f>
        <v/>
      </c>
      <c r="Y126">
        <f>IF([@كود_التصنيف]="","",[@كود_التصنيف]&amp;"|"&amp;[@نوع_الحركة]&amp;"|"&amp;[@كود_معالجة_ضريبية])</f>
        <v/>
      </c>
      <c r="Z126">
        <f>IF([@مفتاح_المقابل]="",0,COUNTIF(tblContra[مفتاح_الحساب_المقابل],[@مفتاح_المقابل]))</f>
        <v/>
      </c>
      <c r="AA126">
        <f>IF([@مفتاح_المقابل]="","",IF([@عدد_تطابقات]=0,"لا تطابق في دليل المقابل",IF([@عدد_تطابقات]&gt;1,"تطابق مكرر في الدليل","")))</f>
        <v/>
      </c>
      <c r="AB126">
        <f>IF([@عدد_تطابقات]&lt;&gt;1,"",_xlfn._xlws.XLOOKUP([@مفتاح_المقابل],tblContra[مفتاح_الحساب_المقابل],tblContra[كود_تحليلي],""))</f>
        <v/>
      </c>
      <c r="AC126">
        <f>IF(AND([@خطأ_المقابل]="",[@الحساب]&lt;&gt;"",[@كود_التصنيف]&lt;&gt;"",[@الإجمالي]&gt;0),"نعم","لا")</f>
        <v/>
      </c>
    </row>
    <row r="127">
      <c r="F127">
        <f>IF([@يؤثر_في_الرصيد]&lt;&gt;"نعم",0,IF([@حالة_السجل]="معكوسة",0,IF([@نوع_الحركة]="قبض",[@الإجمالي],0)))</f>
        <v/>
      </c>
      <c r="G127">
        <f>IF([@يؤثر_في_الرصيد]&lt;&gt;"نعم",0,IF([@حالة_السجل]="معكوسة",0,IF([@نوع_الحركة]="صرف",[@الإجمالي],IF([@نوع_الحركة]="عكس",[@الإجمالي],0))))</f>
        <v/>
      </c>
      <c r="K12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7">
        <f>[@قبل_الضريبة]+[@مبلغ_الضريبة]</f>
        <v/>
      </c>
      <c r="S127">
        <f>IF([@كود_التصنيف]="","",_xlfn._xlws.XLOOKUP([@كود_التصنيف],tblCat[كود_التصنيف],tblCat[نوع_تدفق],""))</f>
        <v/>
      </c>
      <c r="Y127">
        <f>IF([@كود_التصنيف]="","",[@كود_التصنيف]&amp;"|"&amp;[@نوع_الحركة]&amp;"|"&amp;[@كود_معالجة_ضريبية])</f>
        <v/>
      </c>
      <c r="Z127">
        <f>IF([@مفتاح_المقابل]="",0,COUNTIF(tblContra[مفتاح_الحساب_المقابل],[@مفتاح_المقابل]))</f>
        <v/>
      </c>
      <c r="AA127">
        <f>IF([@مفتاح_المقابل]="","",IF([@عدد_تطابقات]=0,"لا تطابق في دليل المقابل",IF([@عدد_تطابقات]&gt;1,"تطابق مكرر في الدليل","")))</f>
        <v/>
      </c>
      <c r="AB127">
        <f>IF([@عدد_تطابقات]&lt;&gt;1,"",_xlfn._xlws.XLOOKUP([@مفتاح_المقابل],tblContra[مفتاح_الحساب_المقابل],tblContra[كود_تحليلي],""))</f>
        <v/>
      </c>
      <c r="AC127">
        <f>IF(AND([@خطأ_المقابل]="",[@الحساب]&lt;&gt;"",[@كود_التصنيف]&lt;&gt;"",[@الإجمالي]&gt;0),"نعم","لا")</f>
        <v/>
      </c>
    </row>
    <row r="128">
      <c r="F128">
        <f>IF([@يؤثر_في_الرصيد]&lt;&gt;"نعم",0,IF([@حالة_السجل]="معكوسة",0,IF([@نوع_الحركة]="قبض",[@الإجمالي],0)))</f>
        <v/>
      </c>
      <c r="G128">
        <f>IF([@يؤثر_في_الرصيد]&lt;&gt;"نعم",0,IF([@حالة_السجل]="معكوسة",0,IF([@نوع_الحركة]="صرف",[@الإجمالي],IF([@نوع_الحركة]="عكس",[@الإجمالي],0))))</f>
        <v/>
      </c>
      <c r="K12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8">
        <f>[@قبل_الضريبة]+[@مبلغ_الضريبة]</f>
        <v/>
      </c>
      <c r="S128">
        <f>IF([@كود_التصنيف]="","",_xlfn._xlws.XLOOKUP([@كود_التصنيف],tblCat[كود_التصنيف],tblCat[نوع_تدفق],""))</f>
        <v/>
      </c>
      <c r="Y128">
        <f>IF([@كود_التصنيف]="","",[@كود_التصنيف]&amp;"|"&amp;[@نوع_الحركة]&amp;"|"&amp;[@كود_معالجة_ضريبية])</f>
        <v/>
      </c>
      <c r="Z128">
        <f>IF([@مفتاح_المقابل]="",0,COUNTIF(tblContra[مفتاح_الحساب_المقابل],[@مفتاح_المقابل]))</f>
        <v/>
      </c>
      <c r="AA128">
        <f>IF([@مفتاح_المقابل]="","",IF([@عدد_تطابقات]=0,"لا تطابق في دليل المقابل",IF([@عدد_تطابقات]&gt;1,"تطابق مكرر في الدليل","")))</f>
        <v/>
      </c>
      <c r="AB128">
        <f>IF([@عدد_تطابقات]&lt;&gt;1,"",_xlfn._xlws.XLOOKUP([@مفتاح_المقابل],tblContra[مفتاح_الحساب_المقابل],tblContra[كود_تحليلي],""))</f>
        <v/>
      </c>
      <c r="AC128">
        <f>IF(AND([@خطأ_المقابل]="",[@الحساب]&lt;&gt;"",[@كود_التصنيف]&lt;&gt;"",[@الإجمالي]&gt;0),"نعم","لا")</f>
        <v/>
      </c>
    </row>
    <row r="129">
      <c r="F129">
        <f>IF([@يؤثر_في_الرصيد]&lt;&gt;"نعم",0,IF([@حالة_السجل]="معكوسة",0,IF([@نوع_الحركة]="قبض",[@الإجمالي],0)))</f>
        <v/>
      </c>
      <c r="G129">
        <f>IF([@يؤثر_في_الرصيد]&lt;&gt;"نعم",0,IF([@حالة_السجل]="معكوسة",0,IF([@نوع_الحركة]="صرف",[@الإجمالي],IF([@نوع_الحركة]="عكس",[@الإجمالي],0))))</f>
        <v/>
      </c>
      <c r="K12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29">
        <f>[@قبل_الضريبة]+[@مبلغ_الضريبة]</f>
        <v/>
      </c>
      <c r="S129">
        <f>IF([@كود_التصنيف]="","",_xlfn._xlws.XLOOKUP([@كود_التصنيف],tblCat[كود_التصنيف],tblCat[نوع_تدفق],""))</f>
        <v/>
      </c>
      <c r="Y129">
        <f>IF([@كود_التصنيف]="","",[@كود_التصنيف]&amp;"|"&amp;[@نوع_الحركة]&amp;"|"&amp;[@كود_معالجة_ضريبية])</f>
        <v/>
      </c>
      <c r="Z129">
        <f>IF([@مفتاح_المقابل]="",0,COUNTIF(tblContra[مفتاح_الحساب_المقابل],[@مفتاح_المقابل]))</f>
        <v/>
      </c>
      <c r="AA129">
        <f>IF([@مفتاح_المقابل]="","",IF([@عدد_تطابقات]=0,"لا تطابق في دليل المقابل",IF([@عدد_تطابقات]&gt;1,"تطابق مكرر في الدليل","")))</f>
        <v/>
      </c>
      <c r="AB129">
        <f>IF([@عدد_تطابقات]&lt;&gt;1,"",_xlfn._xlws.XLOOKUP([@مفتاح_المقابل],tblContra[مفتاح_الحساب_المقابل],tblContra[كود_تحليلي],""))</f>
        <v/>
      </c>
      <c r="AC129">
        <f>IF(AND([@خطأ_المقابل]="",[@الحساب]&lt;&gt;"",[@كود_التصنيف]&lt;&gt;"",[@الإجمالي]&gt;0),"نعم","لا")</f>
        <v/>
      </c>
    </row>
    <row r="130">
      <c r="F130">
        <f>IF([@يؤثر_في_الرصيد]&lt;&gt;"نعم",0,IF([@حالة_السجل]="معكوسة",0,IF([@نوع_الحركة]="قبض",[@الإجمالي],0)))</f>
        <v/>
      </c>
      <c r="G130">
        <f>IF([@يؤثر_في_الرصيد]&lt;&gt;"نعم",0,IF([@حالة_السجل]="معكوسة",0,IF([@نوع_الحركة]="صرف",[@الإجمالي],IF([@نوع_الحركة]="عكس",[@الإجمالي],0))))</f>
        <v/>
      </c>
      <c r="K13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0">
        <f>[@قبل_الضريبة]+[@مبلغ_الضريبة]</f>
        <v/>
      </c>
      <c r="S130">
        <f>IF([@كود_التصنيف]="","",_xlfn._xlws.XLOOKUP([@كود_التصنيف],tblCat[كود_التصنيف],tblCat[نوع_تدفق],""))</f>
        <v/>
      </c>
      <c r="Y130">
        <f>IF([@كود_التصنيف]="","",[@كود_التصنيف]&amp;"|"&amp;[@نوع_الحركة]&amp;"|"&amp;[@كود_معالجة_ضريبية])</f>
        <v/>
      </c>
      <c r="Z130">
        <f>IF([@مفتاح_المقابل]="",0,COUNTIF(tblContra[مفتاح_الحساب_المقابل],[@مفتاح_المقابل]))</f>
        <v/>
      </c>
      <c r="AA130">
        <f>IF([@مفتاح_المقابل]="","",IF([@عدد_تطابقات]=0,"لا تطابق في دليل المقابل",IF([@عدد_تطابقات]&gt;1,"تطابق مكرر في الدليل","")))</f>
        <v/>
      </c>
      <c r="AB130">
        <f>IF([@عدد_تطابقات]&lt;&gt;1,"",_xlfn._xlws.XLOOKUP([@مفتاح_المقابل],tblContra[مفتاح_الحساب_المقابل],tblContra[كود_تحليلي],""))</f>
        <v/>
      </c>
      <c r="AC130">
        <f>IF(AND([@خطأ_المقابل]="",[@الحساب]&lt;&gt;"",[@كود_التصنيف]&lt;&gt;"",[@الإجمالي]&gt;0),"نعم","لا")</f>
        <v/>
      </c>
    </row>
    <row r="131">
      <c r="F131">
        <f>IF([@يؤثر_في_الرصيد]&lt;&gt;"نعم",0,IF([@حالة_السجل]="معكوسة",0,IF([@نوع_الحركة]="قبض",[@الإجمالي],0)))</f>
        <v/>
      </c>
      <c r="G131">
        <f>IF([@يؤثر_في_الرصيد]&lt;&gt;"نعم",0,IF([@حالة_السجل]="معكوسة",0,IF([@نوع_الحركة]="صرف",[@الإجمالي],IF([@نوع_الحركة]="عكس",[@الإجمالي],0))))</f>
        <v/>
      </c>
      <c r="K13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1">
        <f>[@قبل_الضريبة]+[@مبلغ_الضريبة]</f>
        <v/>
      </c>
      <c r="S131">
        <f>IF([@كود_التصنيف]="","",_xlfn._xlws.XLOOKUP([@كود_التصنيف],tblCat[كود_التصنيف],tblCat[نوع_تدفق],""))</f>
        <v/>
      </c>
      <c r="Y131">
        <f>IF([@كود_التصنيف]="","",[@كود_التصنيف]&amp;"|"&amp;[@نوع_الحركة]&amp;"|"&amp;[@كود_معالجة_ضريبية])</f>
        <v/>
      </c>
      <c r="Z131">
        <f>IF([@مفتاح_المقابل]="",0,COUNTIF(tblContra[مفتاح_الحساب_المقابل],[@مفتاح_المقابل]))</f>
        <v/>
      </c>
      <c r="AA131">
        <f>IF([@مفتاح_المقابل]="","",IF([@عدد_تطابقات]=0,"لا تطابق في دليل المقابل",IF([@عدد_تطابقات]&gt;1,"تطابق مكرر في الدليل","")))</f>
        <v/>
      </c>
      <c r="AB131">
        <f>IF([@عدد_تطابقات]&lt;&gt;1,"",_xlfn._xlws.XLOOKUP([@مفتاح_المقابل],tblContra[مفتاح_الحساب_المقابل],tblContra[كود_تحليلي],""))</f>
        <v/>
      </c>
      <c r="AC131">
        <f>IF(AND([@خطأ_المقابل]="",[@الحساب]&lt;&gt;"",[@كود_التصنيف]&lt;&gt;"",[@الإجمالي]&gt;0),"نعم","لا")</f>
        <v/>
      </c>
    </row>
    <row r="132">
      <c r="F132">
        <f>IF([@يؤثر_في_الرصيد]&lt;&gt;"نعم",0,IF([@حالة_السجل]="معكوسة",0,IF([@نوع_الحركة]="قبض",[@الإجمالي],0)))</f>
        <v/>
      </c>
      <c r="G132">
        <f>IF([@يؤثر_في_الرصيد]&lt;&gt;"نعم",0,IF([@حالة_السجل]="معكوسة",0,IF([@نوع_الحركة]="صرف",[@الإجمالي],IF([@نوع_الحركة]="عكس",[@الإجمالي],0))))</f>
        <v/>
      </c>
      <c r="K13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2">
        <f>[@قبل_الضريبة]+[@مبلغ_الضريبة]</f>
        <v/>
      </c>
      <c r="S132">
        <f>IF([@كود_التصنيف]="","",_xlfn._xlws.XLOOKUP([@كود_التصنيف],tblCat[كود_التصنيف],tblCat[نوع_تدفق],""))</f>
        <v/>
      </c>
      <c r="Y132">
        <f>IF([@كود_التصنيف]="","",[@كود_التصنيف]&amp;"|"&amp;[@نوع_الحركة]&amp;"|"&amp;[@كود_معالجة_ضريبية])</f>
        <v/>
      </c>
      <c r="Z132">
        <f>IF([@مفتاح_المقابل]="",0,COUNTIF(tblContra[مفتاح_الحساب_المقابل],[@مفتاح_المقابل]))</f>
        <v/>
      </c>
      <c r="AA132">
        <f>IF([@مفتاح_المقابل]="","",IF([@عدد_تطابقات]=0,"لا تطابق في دليل المقابل",IF([@عدد_تطابقات]&gt;1,"تطابق مكرر في الدليل","")))</f>
        <v/>
      </c>
      <c r="AB132">
        <f>IF([@عدد_تطابقات]&lt;&gt;1,"",_xlfn._xlws.XLOOKUP([@مفتاح_المقابل],tblContra[مفتاح_الحساب_المقابل],tblContra[كود_تحليلي],""))</f>
        <v/>
      </c>
      <c r="AC132">
        <f>IF(AND([@خطأ_المقابل]="",[@الحساب]&lt;&gt;"",[@كود_التصنيف]&lt;&gt;"",[@الإجمالي]&gt;0),"نعم","لا")</f>
        <v/>
      </c>
    </row>
    <row r="133">
      <c r="F133">
        <f>IF([@يؤثر_في_الرصيد]&lt;&gt;"نعم",0,IF([@حالة_السجل]="معكوسة",0,IF([@نوع_الحركة]="قبض",[@الإجمالي],0)))</f>
        <v/>
      </c>
      <c r="G133">
        <f>IF([@يؤثر_في_الرصيد]&lt;&gt;"نعم",0,IF([@حالة_السجل]="معكوسة",0,IF([@نوع_الحركة]="صرف",[@الإجمالي],IF([@نوع_الحركة]="عكس",[@الإجمالي],0))))</f>
        <v/>
      </c>
      <c r="K13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3">
        <f>[@قبل_الضريبة]+[@مبلغ_الضريبة]</f>
        <v/>
      </c>
      <c r="S133">
        <f>IF([@كود_التصنيف]="","",_xlfn._xlws.XLOOKUP([@كود_التصنيف],tblCat[كود_التصنيف],tblCat[نوع_تدفق],""))</f>
        <v/>
      </c>
      <c r="Y133">
        <f>IF([@كود_التصنيف]="","",[@كود_التصنيف]&amp;"|"&amp;[@نوع_الحركة]&amp;"|"&amp;[@كود_معالجة_ضريبية])</f>
        <v/>
      </c>
      <c r="Z133">
        <f>IF([@مفتاح_المقابل]="",0,COUNTIF(tblContra[مفتاح_الحساب_المقابل],[@مفتاح_المقابل]))</f>
        <v/>
      </c>
      <c r="AA133">
        <f>IF([@مفتاح_المقابل]="","",IF([@عدد_تطابقات]=0,"لا تطابق في دليل المقابل",IF([@عدد_تطابقات]&gt;1,"تطابق مكرر في الدليل","")))</f>
        <v/>
      </c>
      <c r="AB133">
        <f>IF([@عدد_تطابقات]&lt;&gt;1,"",_xlfn._xlws.XLOOKUP([@مفتاح_المقابل],tblContra[مفتاح_الحساب_المقابل],tblContra[كود_تحليلي],""))</f>
        <v/>
      </c>
      <c r="AC133">
        <f>IF(AND([@خطأ_المقابل]="",[@الحساب]&lt;&gt;"",[@كود_التصنيف]&lt;&gt;"",[@الإجمالي]&gt;0),"نعم","لا")</f>
        <v/>
      </c>
    </row>
    <row r="134">
      <c r="F134">
        <f>IF([@يؤثر_في_الرصيد]&lt;&gt;"نعم",0,IF([@حالة_السجل]="معكوسة",0,IF([@نوع_الحركة]="قبض",[@الإجمالي],0)))</f>
        <v/>
      </c>
      <c r="G134">
        <f>IF([@يؤثر_في_الرصيد]&lt;&gt;"نعم",0,IF([@حالة_السجل]="معكوسة",0,IF([@نوع_الحركة]="صرف",[@الإجمالي],IF([@نوع_الحركة]="عكس",[@الإجمالي],0))))</f>
        <v/>
      </c>
      <c r="K13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4">
        <f>[@قبل_الضريبة]+[@مبلغ_الضريبة]</f>
        <v/>
      </c>
      <c r="S134">
        <f>IF([@كود_التصنيف]="","",_xlfn._xlws.XLOOKUP([@كود_التصنيف],tblCat[كود_التصنيف],tblCat[نوع_تدفق],""))</f>
        <v/>
      </c>
      <c r="Y134">
        <f>IF([@كود_التصنيف]="","",[@كود_التصنيف]&amp;"|"&amp;[@نوع_الحركة]&amp;"|"&amp;[@كود_معالجة_ضريبية])</f>
        <v/>
      </c>
      <c r="Z134">
        <f>IF([@مفتاح_المقابل]="",0,COUNTIF(tblContra[مفتاح_الحساب_المقابل],[@مفتاح_المقابل]))</f>
        <v/>
      </c>
      <c r="AA134">
        <f>IF([@مفتاح_المقابل]="","",IF([@عدد_تطابقات]=0,"لا تطابق في دليل المقابل",IF([@عدد_تطابقات]&gt;1,"تطابق مكرر في الدليل","")))</f>
        <v/>
      </c>
      <c r="AB134">
        <f>IF([@عدد_تطابقات]&lt;&gt;1,"",_xlfn._xlws.XLOOKUP([@مفتاح_المقابل],tblContra[مفتاح_الحساب_المقابل],tblContra[كود_تحليلي],""))</f>
        <v/>
      </c>
      <c r="AC134">
        <f>IF(AND([@خطأ_المقابل]="",[@الحساب]&lt;&gt;"",[@كود_التصنيف]&lt;&gt;"",[@الإجمالي]&gt;0),"نعم","لا")</f>
        <v/>
      </c>
    </row>
    <row r="135">
      <c r="F135">
        <f>IF([@يؤثر_في_الرصيد]&lt;&gt;"نعم",0,IF([@حالة_السجل]="معكوسة",0,IF([@نوع_الحركة]="قبض",[@الإجمالي],0)))</f>
        <v/>
      </c>
      <c r="G135">
        <f>IF([@يؤثر_في_الرصيد]&lt;&gt;"نعم",0,IF([@حالة_السجل]="معكوسة",0,IF([@نوع_الحركة]="صرف",[@الإجمالي],IF([@نوع_الحركة]="عكس",[@الإجمالي],0))))</f>
        <v/>
      </c>
      <c r="K13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5">
        <f>[@قبل_الضريبة]+[@مبلغ_الضريبة]</f>
        <v/>
      </c>
      <c r="S135">
        <f>IF([@كود_التصنيف]="","",_xlfn._xlws.XLOOKUP([@كود_التصنيف],tblCat[كود_التصنيف],tblCat[نوع_تدفق],""))</f>
        <v/>
      </c>
      <c r="Y135">
        <f>IF([@كود_التصنيف]="","",[@كود_التصنيف]&amp;"|"&amp;[@نوع_الحركة]&amp;"|"&amp;[@كود_معالجة_ضريبية])</f>
        <v/>
      </c>
      <c r="Z135">
        <f>IF([@مفتاح_المقابل]="",0,COUNTIF(tblContra[مفتاح_الحساب_المقابل],[@مفتاح_المقابل]))</f>
        <v/>
      </c>
      <c r="AA135">
        <f>IF([@مفتاح_المقابل]="","",IF([@عدد_تطابقات]=0,"لا تطابق في دليل المقابل",IF([@عدد_تطابقات]&gt;1,"تطابق مكرر في الدليل","")))</f>
        <v/>
      </c>
      <c r="AB135">
        <f>IF([@عدد_تطابقات]&lt;&gt;1,"",_xlfn._xlws.XLOOKUP([@مفتاح_المقابل],tblContra[مفتاح_الحساب_المقابل],tblContra[كود_تحليلي],""))</f>
        <v/>
      </c>
      <c r="AC135">
        <f>IF(AND([@خطأ_المقابل]="",[@الحساب]&lt;&gt;"",[@كود_التصنيف]&lt;&gt;"",[@الإجمالي]&gt;0),"نعم","لا")</f>
        <v/>
      </c>
    </row>
    <row r="136">
      <c r="F136">
        <f>IF([@يؤثر_في_الرصيد]&lt;&gt;"نعم",0,IF([@حالة_السجل]="معكوسة",0,IF([@نوع_الحركة]="قبض",[@الإجمالي],0)))</f>
        <v/>
      </c>
      <c r="G136">
        <f>IF([@يؤثر_في_الرصيد]&lt;&gt;"نعم",0,IF([@حالة_السجل]="معكوسة",0,IF([@نوع_الحركة]="صرف",[@الإجمالي],IF([@نوع_الحركة]="عكس",[@الإجمالي],0))))</f>
        <v/>
      </c>
      <c r="K13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6">
        <f>[@قبل_الضريبة]+[@مبلغ_الضريبة]</f>
        <v/>
      </c>
      <c r="S136">
        <f>IF([@كود_التصنيف]="","",_xlfn._xlws.XLOOKUP([@كود_التصنيف],tblCat[كود_التصنيف],tblCat[نوع_تدفق],""))</f>
        <v/>
      </c>
      <c r="Y136">
        <f>IF([@كود_التصنيف]="","",[@كود_التصنيف]&amp;"|"&amp;[@نوع_الحركة]&amp;"|"&amp;[@كود_معالجة_ضريبية])</f>
        <v/>
      </c>
      <c r="Z136">
        <f>IF([@مفتاح_المقابل]="",0,COUNTIF(tblContra[مفتاح_الحساب_المقابل],[@مفتاح_المقابل]))</f>
        <v/>
      </c>
      <c r="AA136">
        <f>IF([@مفتاح_المقابل]="","",IF([@عدد_تطابقات]=0,"لا تطابق في دليل المقابل",IF([@عدد_تطابقات]&gt;1,"تطابق مكرر في الدليل","")))</f>
        <v/>
      </c>
      <c r="AB136">
        <f>IF([@عدد_تطابقات]&lt;&gt;1,"",_xlfn._xlws.XLOOKUP([@مفتاح_المقابل],tblContra[مفتاح_الحساب_المقابل],tblContra[كود_تحليلي],""))</f>
        <v/>
      </c>
      <c r="AC136">
        <f>IF(AND([@خطأ_المقابل]="",[@الحساب]&lt;&gt;"",[@كود_التصنيف]&lt;&gt;"",[@الإجمالي]&gt;0),"نعم","لا")</f>
        <v/>
      </c>
    </row>
    <row r="137">
      <c r="F137">
        <f>IF([@يؤثر_في_الرصيد]&lt;&gt;"نعم",0,IF([@حالة_السجل]="معكوسة",0,IF([@نوع_الحركة]="قبض",[@الإجمالي],0)))</f>
        <v/>
      </c>
      <c r="G137">
        <f>IF([@يؤثر_في_الرصيد]&lt;&gt;"نعم",0,IF([@حالة_السجل]="معكوسة",0,IF([@نوع_الحركة]="صرف",[@الإجمالي],IF([@نوع_الحركة]="عكس",[@الإجمالي],0))))</f>
        <v/>
      </c>
      <c r="K13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7">
        <f>[@قبل_الضريبة]+[@مبلغ_الضريبة]</f>
        <v/>
      </c>
      <c r="S137">
        <f>IF([@كود_التصنيف]="","",_xlfn._xlws.XLOOKUP([@كود_التصنيف],tblCat[كود_التصنيف],tblCat[نوع_تدفق],""))</f>
        <v/>
      </c>
      <c r="Y137">
        <f>IF([@كود_التصنيف]="","",[@كود_التصنيف]&amp;"|"&amp;[@نوع_الحركة]&amp;"|"&amp;[@كود_معالجة_ضريبية])</f>
        <v/>
      </c>
      <c r="Z137">
        <f>IF([@مفتاح_المقابل]="",0,COUNTIF(tblContra[مفتاح_الحساب_المقابل],[@مفتاح_المقابل]))</f>
        <v/>
      </c>
      <c r="AA137">
        <f>IF([@مفتاح_المقابل]="","",IF([@عدد_تطابقات]=0,"لا تطابق في دليل المقابل",IF([@عدد_تطابقات]&gt;1,"تطابق مكرر في الدليل","")))</f>
        <v/>
      </c>
      <c r="AB137">
        <f>IF([@عدد_تطابقات]&lt;&gt;1,"",_xlfn._xlws.XLOOKUP([@مفتاح_المقابل],tblContra[مفتاح_الحساب_المقابل],tblContra[كود_تحليلي],""))</f>
        <v/>
      </c>
      <c r="AC137">
        <f>IF(AND([@خطأ_المقابل]="",[@الحساب]&lt;&gt;"",[@كود_التصنيف]&lt;&gt;"",[@الإجمالي]&gt;0),"نعم","لا")</f>
        <v/>
      </c>
    </row>
    <row r="138">
      <c r="F138">
        <f>IF([@يؤثر_في_الرصيد]&lt;&gt;"نعم",0,IF([@حالة_السجل]="معكوسة",0,IF([@نوع_الحركة]="قبض",[@الإجمالي],0)))</f>
        <v/>
      </c>
      <c r="G138">
        <f>IF([@يؤثر_في_الرصيد]&lt;&gt;"نعم",0,IF([@حالة_السجل]="معكوسة",0,IF([@نوع_الحركة]="صرف",[@الإجمالي],IF([@نوع_الحركة]="عكس",[@الإجمالي],0))))</f>
        <v/>
      </c>
      <c r="K13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8">
        <f>[@قبل_الضريبة]+[@مبلغ_الضريبة]</f>
        <v/>
      </c>
      <c r="S138">
        <f>IF([@كود_التصنيف]="","",_xlfn._xlws.XLOOKUP([@كود_التصنيف],tblCat[كود_التصنيف],tblCat[نوع_تدفق],""))</f>
        <v/>
      </c>
      <c r="Y138">
        <f>IF([@كود_التصنيف]="","",[@كود_التصنيف]&amp;"|"&amp;[@نوع_الحركة]&amp;"|"&amp;[@كود_معالجة_ضريبية])</f>
        <v/>
      </c>
      <c r="Z138">
        <f>IF([@مفتاح_المقابل]="",0,COUNTIF(tblContra[مفتاح_الحساب_المقابل],[@مفتاح_المقابل]))</f>
        <v/>
      </c>
      <c r="AA138">
        <f>IF([@مفتاح_المقابل]="","",IF([@عدد_تطابقات]=0,"لا تطابق في دليل المقابل",IF([@عدد_تطابقات]&gt;1,"تطابق مكرر في الدليل","")))</f>
        <v/>
      </c>
      <c r="AB138">
        <f>IF([@عدد_تطابقات]&lt;&gt;1,"",_xlfn._xlws.XLOOKUP([@مفتاح_المقابل],tblContra[مفتاح_الحساب_المقابل],tblContra[كود_تحليلي],""))</f>
        <v/>
      </c>
      <c r="AC138">
        <f>IF(AND([@خطأ_المقابل]="",[@الحساب]&lt;&gt;"",[@كود_التصنيف]&lt;&gt;"",[@الإجمالي]&gt;0),"نعم","لا")</f>
        <v/>
      </c>
    </row>
    <row r="139">
      <c r="F139">
        <f>IF([@يؤثر_في_الرصيد]&lt;&gt;"نعم",0,IF([@حالة_السجل]="معكوسة",0,IF([@نوع_الحركة]="قبض",[@الإجمالي],0)))</f>
        <v/>
      </c>
      <c r="G139">
        <f>IF([@يؤثر_في_الرصيد]&lt;&gt;"نعم",0,IF([@حالة_السجل]="معكوسة",0,IF([@نوع_الحركة]="صرف",[@الإجمالي],IF([@نوع_الحركة]="عكس",[@الإجمالي],0))))</f>
        <v/>
      </c>
      <c r="K13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39">
        <f>[@قبل_الضريبة]+[@مبلغ_الضريبة]</f>
        <v/>
      </c>
      <c r="S139">
        <f>IF([@كود_التصنيف]="","",_xlfn._xlws.XLOOKUP([@كود_التصنيف],tblCat[كود_التصنيف],tblCat[نوع_تدفق],""))</f>
        <v/>
      </c>
      <c r="Y139">
        <f>IF([@كود_التصنيف]="","",[@كود_التصنيف]&amp;"|"&amp;[@نوع_الحركة]&amp;"|"&amp;[@كود_معالجة_ضريبية])</f>
        <v/>
      </c>
      <c r="Z139">
        <f>IF([@مفتاح_المقابل]="",0,COUNTIF(tblContra[مفتاح_الحساب_المقابل],[@مفتاح_المقابل]))</f>
        <v/>
      </c>
      <c r="AA139">
        <f>IF([@مفتاح_المقابل]="","",IF([@عدد_تطابقات]=0,"لا تطابق في دليل المقابل",IF([@عدد_تطابقات]&gt;1,"تطابق مكرر في الدليل","")))</f>
        <v/>
      </c>
      <c r="AB139">
        <f>IF([@عدد_تطابقات]&lt;&gt;1,"",_xlfn._xlws.XLOOKUP([@مفتاح_المقابل],tblContra[مفتاح_الحساب_المقابل],tblContra[كود_تحليلي],""))</f>
        <v/>
      </c>
      <c r="AC139">
        <f>IF(AND([@خطأ_المقابل]="",[@الحساب]&lt;&gt;"",[@كود_التصنيف]&lt;&gt;"",[@الإجمالي]&gt;0),"نعم","لا")</f>
        <v/>
      </c>
    </row>
    <row r="140">
      <c r="F140">
        <f>IF([@يؤثر_في_الرصيد]&lt;&gt;"نعم",0,IF([@حالة_السجل]="معكوسة",0,IF([@نوع_الحركة]="قبض",[@الإجمالي],0)))</f>
        <v/>
      </c>
      <c r="G140">
        <f>IF([@يؤثر_في_الرصيد]&lt;&gt;"نعم",0,IF([@حالة_السجل]="معكوسة",0,IF([@نوع_الحركة]="صرف",[@الإجمالي],IF([@نوع_الحركة]="عكس",[@الإجمالي],0))))</f>
        <v/>
      </c>
      <c r="K14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0">
        <f>[@قبل_الضريبة]+[@مبلغ_الضريبة]</f>
        <v/>
      </c>
      <c r="S140">
        <f>IF([@كود_التصنيف]="","",_xlfn._xlws.XLOOKUP([@كود_التصنيف],tblCat[كود_التصنيف],tblCat[نوع_تدفق],""))</f>
        <v/>
      </c>
      <c r="Y140">
        <f>IF([@كود_التصنيف]="","",[@كود_التصنيف]&amp;"|"&amp;[@نوع_الحركة]&amp;"|"&amp;[@كود_معالجة_ضريبية])</f>
        <v/>
      </c>
      <c r="Z140">
        <f>IF([@مفتاح_المقابل]="",0,COUNTIF(tblContra[مفتاح_الحساب_المقابل],[@مفتاح_المقابل]))</f>
        <v/>
      </c>
      <c r="AA140">
        <f>IF([@مفتاح_المقابل]="","",IF([@عدد_تطابقات]=0,"لا تطابق في دليل المقابل",IF([@عدد_تطابقات]&gt;1,"تطابق مكرر في الدليل","")))</f>
        <v/>
      </c>
      <c r="AB140">
        <f>IF([@عدد_تطابقات]&lt;&gt;1,"",_xlfn._xlws.XLOOKUP([@مفتاح_المقابل],tblContra[مفتاح_الحساب_المقابل],tblContra[كود_تحليلي],""))</f>
        <v/>
      </c>
      <c r="AC140">
        <f>IF(AND([@خطأ_المقابل]="",[@الحساب]&lt;&gt;"",[@كود_التصنيف]&lt;&gt;"",[@الإجمالي]&gt;0),"نعم","لا")</f>
        <v/>
      </c>
    </row>
    <row r="141">
      <c r="F141">
        <f>IF([@يؤثر_في_الرصيد]&lt;&gt;"نعم",0,IF([@حالة_السجل]="معكوسة",0,IF([@نوع_الحركة]="قبض",[@الإجمالي],0)))</f>
        <v/>
      </c>
      <c r="G141">
        <f>IF([@يؤثر_في_الرصيد]&lt;&gt;"نعم",0,IF([@حالة_السجل]="معكوسة",0,IF([@نوع_الحركة]="صرف",[@الإجمالي],IF([@نوع_الحركة]="عكس",[@الإجمالي],0))))</f>
        <v/>
      </c>
      <c r="K14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1">
        <f>[@قبل_الضريبة]+[@مبلغ_الضريبة]</f>
        <v/>
      </c>
      <c r="S141">
        <f>IF([@كود_التصنيف]="","",_xlfn._xlws.XLOOKUP([@كود_التصنيف],tblCat[كود_التصنيف],tblCat[نوع_تدفق],""))</f>
        <v/>
      </c>
      <c r="Y141">
        <f>IF([@كود_التصنيف]="","",[@كود_التصنيف]&amp;"|"&amp;[@نوع_الحركة]&amp;"|"&amp;[@كود_معالجة_ضريبية])</f>
        <v/>
      </c>
      <c r="Z141">
        <f>IF([@مفتاح_المقابل]="",0,COUNTIF(tblContra[مفتاح_الحساب_المقابل],[@مفتاح_المقابل]))</f>
        <v/>
      </c>
      <c r="AA141">
        <f>IF([@مفتاح_المقابل]="","",IF([@عدد_تطابقات]=0,"لا تطابق في دليل المقابل",IF([@عدد_تطابقات]&gt;1,"تطابق مكرر في الدليل","")))</f>
        <v/>
      </c>
      <c r="AB141">
        <f>IF([@عدد_تطابقات]&lt;&gt;1,"",_xlfn._xlws.XLOOKUP([@مفتاح_المقابل],tblContra[مفتاح_الحساب_المقابل],tblContra[كود_تحليلي],""))</f>
        <v/>
      </c>
      <c r="AC141">
        <f>IF(AND([@خطأ_المقابل]="",[@الحساب]&lt;&gt;"",[@كود_التصنيف]&lt;&gt;"",[@الإجمالي]&gt;0),"نعم","لا")</f>
        <v/>
      </c>
    </row>
    <row r="142">
      <c r="F142">
        <f>IF([@يؤثر_في_الرصيد]&lt;&gt;"نعم",0,IF([@حالة_السجل]="معكوسة",0,IF([@نوع_الحركة]="قبض",[@الإجمالي],0)))</f>
        <v/>
      </c>
      <c r="G142">
        <f>IF([@يؤثر_في_الرصيد]&lt;&gt;"نعم",0,IF([@حالة_السجل]="معكوسة",0,IF([@نوع_الحركة]="صرف",[@الإجمالي],IF([@نوع_الحركة]="عكس",[@الإجمالي],0))))</f>
        <v/>
      </c>
      <c r="K14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2">
        <f>[@قبل_الضريبة]+[@مبلغ_الضريبة]</f>
        <v/>
      </c>
      <c r="S142">
        <f>IF([@كود_التصنيف]="","",_xlfn._xlws.XLOOKUP([@كود_التصنيف],tblCat[كود_التصنيف],tblCat[نوع_تدفق],""))</f>
        <v/>
      </c>
      <c r="Y142">
        <f>IF([@كود_التصنيف]="","",[@كود_التصنيف]&amp;"|"&amp;[@نوع_الحركة]&amp;"|"&amp;[@كود_معالجة_ضريبية])</f>
        <v/>
      </c>
      <c r="Z142">
        <f>IF([@مفتاح_المقابل]="",0,COUNTIF(tblContra[مفتاح_الحساب_المقابل],[@مفتاح_المقابل]))</f>
        <v/>
      </c>
      <c r="AA142">
        <f>IF([@مفتاح_المقابل]="","",IF([@عدد_تطابقات]=0,"لا تطابق في دليل المقابل",IF([@عدد_تطابقات]&gt;1,"تطابق مكرر في الدليل","")))</f>
        <v/>
      </c>
      <c r="AB142">
        <f>IF([@عدد_تطابقات]&lt;&gt;1,"",_xlfn._xlws.XLOOKUP([@مفتاح_المقابل],tblContra[مفتاح_الحساب_المقابل],tblContra[كود_تحليلي],""))</f>
        <v/>
      </c>
      <c r="AC142">
        <f>IF(AND([@خطأ_المقابل]="",[@الحساب]&lt;&gt;"",[@كود_التصنيف]&lt;&gt;"",[@الإجمالي]&gt;0),"نعم","لا")</f>
        <v/>
      </c>
    </row>
    <row r="143">
      <c r="F143">
        <f>IF([@يؤثر_في_الرصيد]&lt;&gt;"نعم",0,IF([@حالة_السجل]="معكوسة",0,IF([@نوع_الحركة]="قبض",[@الإجمالي],0)))</f>
        <v/>
      </c>
      <c r="G143">
        <f>IF([@يؤثر_في_الرصيد]&lt;&gt;"نعم",0,IF([@حالة_السجل]="معكوسة",0,IF([@نوع_الحركة]="صرف",[@الإجمالي],IF([@نوع_الحركة]="عكس",[@الإجمالي],0))))</f>
        <v/>
      </c>
      <c r="K143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3">
        <f>[@قبل_الضريبة]+[@مبلغ_الضريبة]</f>
        <v/>
      </c>
      <c r="S143">
        <f>IF([@كود_التصنيف]="","",_xlfn._xlws.XLOOKUP([@كود_التصنيف],tblCat[كود_التصنيف],tblCat[نوع_تدفق],""))</f>
        <v/>
      </c>
      <c r="Y143">
        <f>IF([@كود_التصنيف]="","",[@كود_التصنيف]&amp;"|"&amp;[@نوع_الحركة]&amp;"|"&amp;[@كود_معالجة_ضريبية])</f>
        <v/>
      </c>
      <c r="Z143">
        <f>IF([@مفتاح_المقابل]="",0,COUNTIF(tblContra[مفتاح_الحساب_المقابل],[@مفتاح_المقابل]))</f>
        <v/>
      </c>
      <c r="AA143">
        <f>IF([@مفتاح_المقابل]="","",IF([@عدد_تطابقات]=0,"لا تطابق في دليل المقابل",IF([@عدد_تطابقات]&gt;1,"تطابق مكرر في الدليل","")))</f>
        <v/>
      </c>
      <c r="AB143">
        <f>IF([@عدد_تطابقات]&lt;&gt;1,"",_xlfn._xlws.XLOOKUP([@مفتاح_المقابل],tblContra[مفتاح_الحساب_المقابل],tblContra[كود_تحليلي],""))</f>
        <v/>
      </c>
      <c r="AC143">
        <f>IF(AND([@خطأ_المقابل]="",[@الحساب]&lt;&gt;"",[@كود_التصنيف]&lt;&gt;"",[@الإجمالي]&gt;0),"نعم","لا")</f>
        <v/>
      </c>
    </row>
    <row r="144">
      <c r="F144">
        <f>IF([@يؤثر_في_الرصيد]&lt;&gt;"نعم",0,IF([@حالة_السجل]="معكوسة",0,IF([@نوع_الحركة]="قبض",[@الإجمالي],0)))</f>
        <v/>
      </c>
      <c r="G144">
        <f>IF([@يؤثر_في_الرصيد]&lt;&gt;"نعم",0,IF([@حالة_السجل]="معكوسة",0,IF([@نوع_الحركة]="صرف",[@الإجمالي],IF([@نوع_الحركة]="عكس",[@الإجمالي],0))))</f>
        <v/>
      </c>
      <c r="K144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4">
        <f>[@قبل_الضريبة]+[@مبلغ_الضريبة]</f>
        <v/>
      </c>
      <c r="S144">
        <f>IF([@كود_التصنيف]="","",_xlfn._xlws.XLOOKUP([@كود_التصنيف],tblCat[كود_التصنيف],tblCat[نوع_تدفق],""))</f>
        <v/>
      </c>
      <c r="Y144">
        <f>IF([@كود_التصنيف]="","",[@كود_التصنيف]&amp;"|"&amp;[@نوع_الحركة]&amp;"|"&amp;[@كود_معالجة_ضريبية])</f>
        <v/>
      </c>
      <c r="Z144">
        <f>IF([@مفتاح_المقابل]="",0,COUNTIF(tblContra[مفتاح_الحساب_المقابل],[@مفتاح_المقابل]))</f>
        <v/>
      </c>
      <c r="AA144">
        <f>IF([@مفتاح_المقابل]="","",IF([@عدد_تطابقات]=0,"لا تطابق في دليل المقابل",IF([@عدد_تطابقات]&gt;1,"تطابق مكرر في الدليل","")))</f>
        <v/>
      </c>
      <c r="AB144">
        <f>IF([@عدد_تطابقات]&lt;&gt;1,"",_xlfn._xlws.XLOOKUP([@مفتاح_المقابل],tblContra[مفتاح_الحساب_المقابل],tblContra[كود_تحليلي],""))</f>
        <v/>
      </c>
      <c r="AC144">
        <f>IF(AND([@خطأ_المقابل]="",[@الحساب]&lt;&gt;"",[@كود_التصنيف]&lt;&gt;"",[@الإجمالي]&gt;0),"نعم","لا")</f>
        <v/>
      </c>
    </row>
    <row r="145">
      <c r="F145">
        <f>IF([@يؤثر_في_الرصيد]&lt;&gt;"نعم",0,IF([@حالة_السجل]="معكوسة",0,IF([@نوع_الحركة]="قبض",[@الإجمالي],0)))</f>
        <v/>
      </c>
      <c r="G145">
        <f>IF([@يؤثر_في_الرصيد]&lt;&gt;"نعم",0,IF([@حالة_السجل]="معكوسة",0,IF([@نوع_الحركة]="صرف",[@الإجمالي],IF([@نوع_الحركة]="عكس",[@الإجمالي],0))))</f>
        <v/>
      </c>
      <c r="K145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5">
        <f>[@قبل_الضريبة]+[@مبلغ_الضريبة]</f>
        <v/>
      </c>
      <c r="S145">
        <f>IF([@كود_التصنيف]="","",_xlfn._xlws.XLOOKUP([@كود_التصنيف],tblCat[كود_التصنيف],tblCat[نوع_تدفق],""))</f>
        <v/>
      </c>
      <c r="Y145">
        <f>IF([@كود_التصنيف]="","",[@كود_التصنيف]&amp;"|"&amp;[@نوع_الحركة]&amp;"|"&amp;[@كود_معالجة_ضريبية])</f>
        <v/>
      </c>
      <c r="Z145">
        <f>IF([@مفتاح_المقابل]="",0,COUNTIF(tblContra[مفتاح_الحساب_المقابل],[@مفتاح_المقابل]))</f>
        <v/>
      </c>
      <c r="AA145">
        <f>IF([@مفتاح_المقابل]="","",IF([@عدد_تطابقات]=0,"لا تطابق في دليل المقابل",IF([@عدد_تطابقات]&gt;1,"تطابق مكرر في الدليل","")))</f>
        <v/>
      </c>
      <c r="AB145">
        <f>IF([@عدد_تطابقات]&lt;&gt;1,"",_xlfn._xlws.XLOOKUP([@مفتاح_المقابل],tblContra[مفتاح_الحساب_المقابل],tblContra[كود_تحليلي],""))</f>
        <v/>
      </c>
      <c r="AC145">
        <f>IF(AND([@خطأ_المقابل]="",[@الحساب]&lt;&gt;"",[@كود_التصنيف]&lt;&gt;"",[@الإجمالي]&gt;0),"نعم","لا")</f>
        <v/>
      </c>
    </row>
    <row r="146">
      <c r="F146">
        <f>IF([@يؤثر_في_الرصيد]&lt;&gt;"نعم",0,IF([@حالة_السجل]="معكوسة",0,IF([@نوع_الحركة]="قبض",[@الإجمالي],0)))</f>
        <v/>
      </c>
      <c r="G146">
        <f>IF([@يؤثر_في_الرصيد]&lt;&gt;"نعم",0,IF([@حالة_السجل]="معكوسة",0,IF([@نوع_الحركة]="صرف",[@الإجمالي],IF([@نوع_الحركة]="عكس",[@الإجمالي],0))))</f>
        <v/>
      </c>
      <c r="K146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6">
        <f>[@قبل_الضريبة]+[@مبلغ_الضريبة]</f>
        <v/>
      </c>
      <c r="S146">
        <f>IF([@كود_التصنيف]="","",_xlfn._xlws.XLOOKUP([@كود_التصنيف],tblCat[كود_التصنيف],tblCat[نوع_تدفق],""))</f>
        <v/>
      </c>
      <c r="Y146">
        <f>IF([@كود_التصنيف]="","",[@كود_التصنيف]&amp;"|"&amp;[@نوع_الحركة]&amp;"|"&amp;[@كود_معالجة_ضريبية])</f>
        <v/>
      </c>
      <c r="Z146">
        <f>IF([@مفتاح_المقابل]="",0,COUNTIF(tblContra[مفتاح_الحساب_المقابل],[@مفتاح_المقابل]))</f>
        <v/>
      </c>
      <c r="AA146">
        <f>IF([@مفتاح_المقابل]="","",IF([@عدد_تطابقات]=0,"لا تطابق في دليل المقابل",IF([@عدد_تطابقات]&gt;1,"تطابق مكرر في الدليل","")))</f>
        <v/>
      </c>
      <c r="AB146">
        <f>IF([@عدد_تطابقات]&lt;&gt;1,"",_xlfn._xlws.XLOOKUP([@مفتاح_المقابل],tblContra[مفتاح_الحساب_المقابل],tblContra[كود_تحليلي],""))</f>
        <v/>
      </c>
      <c r="AC146">
        <f>IF(AND([@خطأ_المقابل]="",[@الحساب]&lt;&gt;"",[@كود_التصنيف]&lt;&gt;"",[@الإجمالي]&gt;0),"نعم","لا")</f>
        <v/>
      </c>
    </row>
    <row r="147">
      <c r="F147">
        <f>IF([@يؤثر_في_الرصيد]&lt;&gt;"نعم",0,IF([@حالة_السجل]="معكوسة",0,IF([@نوع_الحركة]="قبض",[@الإجمالي],0)))</f>
        <v/>
      </c>
      <c r="G147">
        <f>IF([@يؤثر_في_الرصيد]&lt;&gt;"نعم",0,IF([@حالة_السجل]="معكوسة",0,IF([@نوع_الحركة]="صرف",[@الإجمالي],IF([@نوع_الحركة]="عكس",[@الإجمالي],0))))</f>
        <v/>
      </c>
      <c r="K147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7">
        <f>[@قبل_الضريبة]+[@مبلغ_الضريبة]</f>
        <v/>
      </c>
      <c r="S147">
        <f>IF([@كود_التصنيف]="","",_xlfn._xlws.XLOOKUP([@كود_التصنيف],tblCat[كود_التصنيف],tblCat[نوع_تدفق],""))</f>
        <v/>
      </c>
      <c r="Y147">
        <f>IF([@كود_التصنيف]="","",[@كود_التصنيف]&amp;"|"&amp;[@نوع_الحركة]&amp;"|"&amp;[@كود_معالجة_ضريبية])</f>
        <v/>
      </c>
      <c r="Z147">
        <f>IF([@مفتاح_المقابل]="",0,COUNTIF(tblContra[مفتاح_الحساب_المقابل],[@مفتاح_المقابل]))</f>
        <v/>
      </c>
      <c r="AA147">
        <f>IF([@مفتاح_المقابل]="","",IF([@عدد_تطابقات]=0,"لا تطابق في دليل المقابل",IF([@عدد_تطابقات]&gt;1,"تطابق مكرر في الدليل","")))</f>
        <v/>
      </c>
      <c r="AB147">
        <f>IF([@عدد_تطابقات]&lt;&gt;1,"",_xlfn._xlws.XLOOKUP([@مفتاح_المقابل],tblContra[مفتاح_الحساب_المقابل],tblContra[كود_تحليلي],""))</f>
        <v/>
      </c>
      <c r="AC147">
        <f>IF(AND([@خطأ_المقابل]="",[@الحساب]&lt;&gt;"",[@كود_التصنيف]&lt;&gt;"",[@الإجمالي]&gt;0),"نعم","لا")</f>
        <v/>
      </c>
    </row>
    <row r="148">
      <c r="F148">
        <f>IF([@يؤثر_في_الرصيد]&lt;&gt;"نعم",0,IF([@حالة_السجل]="معكوسة",0,IF([@نوع_الحركة]="قبض",[@الإجمالي],0)))</f>
        <v/>
      </c>
      <c r="G148">
        <f>IF([@يؤثر_في_الرصيد]&lt;&gt;"نعم",0,IF([@حالة_السجل]="معكوسة",0,IF([@نوع_الحركة]="صرف",[@الإجمالي],IF([@نوع_الحركة]="عكس",[@الإجمالي],0))))</f>
        <v/>
      </c>
      <c r="K148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8">
        <f>[@قبل_الضريبة]+[@مبلغ_الضريبة]</f>
        <v/>
      </c>
      <c r="S148">
        <f>IF([@كود_التصنيف]="","",_xlfn._xlws.XLOOKUP([@كود_التصنيف],tblCat[كود_التصنيف],tblCat[نوع_تدفق],""))</f>
        <v/>
      </c>
      <c r="Y148">
        <f>IF([@كود_التصنيف]="","",[@كود_التصنيف]&amp;"|"&amp;[@نوع_الحركة]&amp;"|"&amp;[@كود_معالجة_ضريبية])</f>
        <v/>
      </c>
      <c r="Z148">
        <f>IF([@مفتاح_المقابل]="",0,COUNTIF(tblContra[مفتاح_الحساب_المقابل],[@مفتاح_المقابل]))</f>
        <v/>
      </c>
      <c r="AA148">
        <f>IF([@مفتاح_المقابل]="","",IF([@عدد_تطابقات]=0,"لا تطابق في دليل المقابل",IF([@عدد_تطابقات]&gt;1,"تطابق مكرر في الدليل","")))</f>
        <v/>
      </c>
      <c r="AB148">
        <f>IF([@عدد_تطابقات]&lt;&gt;1,"",_xlfn._xlws.XLOOKUP([@مفتاح_المقابل],tblContra[مفتاح_الحساب_المقابل],tblContra[كود_تحليلي],""))</f>
        <v/>
      </c>
      <c r="AC148">
        <f>IF(AND([@خطأ_المقابل]="",[@الحساب]&lt;&gt;"",[@كود_التصنيف]&lt;&gt;"",[@الإجمالي]&gt;0),"نعم","لا")</f>
        <v/>
      </c>
    </row>
    <row r="149">
      <c r="F149">
        <f>IF([@يؤثر_في_الرصيد]&lt;&gt;"نعم",0,IF([@حالة_السجل]="معكوسة",0,IF([@نوع_الحركة]="قبض",[@الإجمالي],0)))</f>
        <v/>
      </c>
      <c r="G149">
        <f>IF([@يؤثر_في_الرصيد]&lt;&gt;"نعم",0,IF([@حالة_السجل]="معكوسة",0,IF([@نوع_الحركة]="صرف",[@الإجمالي],IF([@نوع_الحركة]="عكس",[@الإجمالي],0))))</f>
        <v/>
      </c>
      <c r="K149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49">
        <f>[@قبل_الضريبة]+[@مبلغ_الضريبة]</f>
        <v/>
      </c>
      <c r="S149">
        <f>IF([@كود_التصنيف]="","",_xlfn._xlws.XLOOKUP([@كود_التصنيف],tblCat[كود_التصنيف],tblCat[نوع_تدفق],""))</f>
        <v/>
      </c>
      <c r="Y149">
        <f>IF([@كود_التصنيف]="","",[@كود_التصنيف]&amp;"|"&amp;[@نوع_الحركة]&amp;"|"&amp;[@كود_معالجة_ضريبية])</f>
        <v/>
      </c>
      <c r="Z149">
        <f>IF([@مفتاح_المقابل]="",0,COUNTIF(tblContra[مفتاح_الحساب_المقابل],[@مفتاح_المقابل]))</f>
        <v/>
      </c>
      <c r="AA149">
        <f>IF([@مفتاح_المقابل]="","",IF([@عدد_تطابقات]=0,"لا تطابق في دليل المقابل",IF([@عدد_تطابقات]&gt;1,"تطابق مكرر في الدليل","")))</f>
        <v/>
      </c>
      <c r="AB149">
        <f>IF([@عدد_تطابقات]&lt;&gt;1,"",_xlfn._xlws.XLOOKUP([@مفتاح_المقابل],tblContra[مفتاح_الحساب_المقابل],tblContra[كود_تحليلي],""))</f>
        <v/>
      </c>
      <c r="AC149">
        <f>IF(AND([@خطأ_المقابل]="",[@الحساب]&lt;&gt;"",[@كود_التصنيف]&lt;&gt;"",[@الإجمالي]&gt;0),"نعم","لا")</f>
        <v/>
      </c>
    </row>
    <row r="150">
      <c r="F150">
        <f>IF([@يؤثر_في_الرصيد]&lt;&gt;"نعم",0,IF([@حالة_السجل]="معكوسة",0,IF([@نوع_الحركة]="قبض",[@الإجمالي],0)))</f>
        <v/>
      </c>
      <c r="G150">
        <f>IF([@يؤثر_في_الرصيد]&lt;&gt;"نعم",0,IF([@حالة_السجل]="معكوسة",0,IF([@نوع_الحركة]="صرف",[@الإجمالي],IF([@نوع_الحركة]="عكس",[@الإجمالي],0))))</f>
        <v/>
      </c>
      <c r="K150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50">
        <f>[@قبل_الضريبة]+[@مبلغ_الضريبة]</f>
        <v/>
      </c>
      <c r="S150">
        <f>IF([@كود_التصنيف]="","",_xlfn._xlws.XLOOKUP([@كود_التصنيف],tblCat[كود_التصنيف],tblCat[نوع_تدفق],""))</f>
        <v/>
      </c>
      <c r="Y150">
        <f>IF([@كود_التصنيف]="","",[@كود_التصنيف]&amp;"|"&amp;[@نوع_الحركة]&amp;"|"&amp;[@كود_معالجة_ضريبية])</f>
        <v/>
      </c>
      <c r="Z150">
        <f>IF([@مفتاح_المقابل]="",0,COUNTIF(tblContra[مفتاح_الحساب_المقابل],[@مفتاح_المقابل]))</f>
        <v/>
      </c>
      <c r="AA150">
        <f>IF([@مفتاح_المقابل]="","",IF([@عدد_تطابقات]=0,"لا تطابق في دليل المقابل",IF([@عدد_تطابقات]&gt;1,"تطابق مكرر في الدليل","")))</f>
        <v/>
      </c>
      <c r="AB150">
        <f>IF([@عدد_تطابقات]&lt;&gt;1,"",_xlfn._xlws.XLOOKUP([@مفتاح_المقابل],tblContra[مفتاح_الحساب_المقابل],tblContra[كود_تحليلي],""))</f>
        <v/>
      </c>
      <c r="AC150">
        <f>IF(AND([@خطأ_المقابل]="",[@الحساب]&lt;&gt;"",[@كود_التصنيف]&lt;&gt;"",[@الإجمالي]&gt;0),"نعم","لا")</f>
        <v/>
      </c>
    </row>
    <row r="151">
      <c r="F151">
        <f>IF([@يؤثر_في_الرصيد]&lt;&gt;"نعم",0,IF([@حالة_السجل]="معكوسة",0,IF([@نوع_الحركة]="قبض",[@الإجمالي],0)))</f>
        <v/>
      </c>
      <c r="G151">
        <f>IF([@يؤثر_في_الرصيد]&lt;&gt;"نعم",0,IF([@حالة_السجل]="معكوسة",0,IF([@نوع_الحركة]="صرف",[@الإجمالي],IF([@نوع_الحركة]="عكس",[@الإجمالي],0))))</f>
        <v/>
      </c>
      <c r="K151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51">
        <f>[@قبل_الضريبة]+[@مبلغ_الضريبة]</f>
        <v/>
      </c>
      <c r="S151">
        <f>IF([@كود_التصنيف]="","",_xlfn._xlws.XLOOKUP([@كود_التصنيف],tblCat[كود_التصنيف],tblCat[نوع_تدفق],""))</f>
        <v/>
      </c>
      <c r="Y151">
        <f>IF([@كود_التصنيف]="","",[@كود_التصنيف]&amp;"|"&amp;[@نوع_الحركة]&amp;"|"&amp;[@كود_معالجة_ضريبية])</f>
        <v/>
      </c>
      <c r="Z151">
        <f>IF([@مفتاح_المقابل]="",0,COUNTIF(tblContra[مفتاح_الحساب_المقابل],[@مفتاح_المقابل]))</f>
        <v/>
      </c>
      <c r="AA151">
        <f>IF([@مفتاح_المقابل]="","",IF([@عدد_تطابقات]=0,"لا تطابق في دليل المقابل",IF([@عدد_تطابقات]&gt;1,"تطابق مكرر في الدليل","")))</f>
        <v/>
      </c>
      <c r="AB151">
        <f>IF([@عدد_تطابقات]&lt;&gt;1,"",_xlfn._xlws.XLOOKUP([@مفتاح_المقابل],tblContra[مفتاح_الحساب_المقابل],tblContra[كود_تحليلي],""))</f>
        <v/>
      </c>
      <c r="AC151">
        <f>IF(AND([@خطأ_المقابل]="",[@الحساب]&lt;&gt;"",[@كود_التصنيف]&lt;&gt;"",[@الإجمالي]&gt;0),"نعم","لا")</f>
        <v/>
      </c>
    </row>
    <row r="152">
      <c r="F152">
        <f>IF([@يؤثر_في_الرصيد]&lt;&gt;"نعم",0,IF([@حالة_السجل]="معكوسة",0,IF([@نوع_الحركة]="قبض",[@الإجمالي],0)))</f>
        <v/>
      </c>
      <c r="G152">
        <f>IF([@يؤثر_في_الرصيد]&lt;&gt;"نعم",0,IF([@حالة_السجل]="معكوسة",0,IF([@نوع_الحركة]="صرف",[@الإجمالي],IF([@نوع_الحركة]="عكس",[@الإجمالي],0))))</f>
        <v/>
      </c>
      <c r="K152">
        <f>IF([@كود_معالجة_ضريبية]="",0,IF(_xlfn._xlws.XLOOKUP([@كود_معالجة_ضريبية],tblTax[كود_معالجة_ضريبية],tblTax[نوع],"")="نسبة",[@قبل_الضريبة]*_xlfn._xlws.XLOOKUP([@كود_معالجة_ضريبية],tblTax[كود_معالجة_ضريبية],tblTax[القيمة],0),0))</f>
        <v/>
      </c>
      <c r="L152">
        <f>[@قبل_الضريبة]+[@مبلغ_الضريبة]</f>
        <v/>
      </c>
      <c r="S152">
        <f>IF([@كود_التصنيف]="","",_xlfn._xlws.XLOOKUP([@كود_التصنيف],tblCat[كود_التصنيف],tblCat[نوع_تدفق],""))</f>
        <v/>
      </c>
      <c r="Y152">
        <f>IF([@كود_التصنيف]="","",[@كود_التصنيف]&amp;"|"&amp;[@نوع_الحركة]&amp;"|"&amp;[@كود_معالجة_ضريبية])</f>
        <v/>
      </c>
      <c r="Z152">
        <f>IF([@مفتاح_المقابل]="",0,COUNTIF(tblContra[مفتاح_الحساب_المقابل],[@مفتاح_المقابل]))</f>
        <v/>
      </c>
      <c r="AA152">
        <f>IF([@مفتاح_المقابل]="","",IF([@عدد_تطابقات]=0,"لا تطابق في دليل المقابل",IF([@عدد_تطابقات]&gt;1,"تطابق مكرر في الدليل","")))</f>
        <v/>
      </c>
      <c r="AB152">
        <f>IF([@عدد_تطابقات]&lt;&gt;1,"",_xlfn._xlws.XLOOKUP([@مفتاح_المقابل],tblContra[مفتاح_الحساب_المقابل],tblContra[كود_تحليلي],""))</f>
        <v/>
      </c>
      <c r="AC152">
        <f>IF(AND([@خطأ_المقابل]="",[@الحساب]&lt;&gt;"",[@كود_التصنيف]&lt;&gt;"",[@الإجمالي]&gt;0),"نعم","لا")</f>
        <v/>
      </c>
    </row>
  </sheetData>
  <dataValidations count="3">
    <dataValidation sqref="AD2:AD152" showDropDown="0" showInputMessage="0" showErrorMessage="0" allowBlank="1" type="list">
      <formula1>"مسودة,معلق,معتمد"</formula1>
    </dataValidation>
    <dataValidation sqref="D2:D152" showDropDown="0" showInputMessage="0" showErrorMessage="0" allowBlank="1" type="list">
      <formula1>"قبض,صرف,عكس"</formula1>
    </dataValidation>
    <dataValidation sqref="T2:T152 U2:U152 V2:V152" showDropDown="0" showInputMessage="0" showErrorMessage="0" allowBlank="1" type="list">
      <formula1>"نعم,لا"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52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رقم_الحركة</t>
        </is>
      </c>
      <c r="B1" s="2" t="inlineStr">
        <is>
          <t>رقم_نسخة</t>
        </is>
      </c>
      <c r="C1" s="2" t="inlineStr">
        <is>
          <t>التاريخ</t>
        </is>
      </c>
      <c r="D1" s="2" t="inlineStr">
        <is>
          <t>نوع_الحركة</t>
        </is>
      </c>
      <c r="E1" s="2" t="inlineStr">
        <is>
          <t>الحساب</t>
        </is>
      </c>
      <c r="F1" s="2" t="inlineStr">
        <is>
          <t>مدين</t>
        </is>
      </c>
      <c r="G1" s="2" t="inlineStr">
        <is>
          <t>دائن</t>
        </is>
      </c>
      <c r="H1" s="2" t="inlineStr">
        <is>
          <t>كود_التصنيف</t>
        </is>
      </c>
      <c r="I1" s="2" t="inlineStr">
        <is>
          <t>كود_معالجة_ضريبية</t>
        </is>
      </c>
      <c r="J1" s="2" t="inlineStr">
        <is>
          <t>قبل_الضريبة</t>
        </is>
      </c>
      <c r="K1" s="2" t="inlineStr">
        <is>
          <t>مبلغ_الضريبة</t>
        </is>
      </c>
      <c r="L1" s="2" t="inlineStr">
        <is>
          <t>الإجمالي</t>
        </is>
      </c>
      <c r="M1" s="2" t="inlineStr">
        <is>
          <t>الجهة</t>
        </is>
      </c>
      <c r="N1" s="2" t="inlineStr">
        <is>
          <t>نوع_الطرف</t>
        </is>
      </c>
      <c r="O1" s="2" t="inlineStr">
        <is>
          <t>قناة_البيع</t>
        </is>
      </c>
      <c r="P1" s="2" t="inlineStr">
        <is>
          <t>مرجع</t>
        </is>
      </c>
      <c r="Q1" s="2" t="inlineStr">
        <is>
          <t>طريقة_الدفع</t>
        </is>
      </c>
      <c r="R1" s="2" t="inlineStr">
        <is>
          <t>رقم_شيك</t>
        </is>
      </c>
      <c r="S1" s="2" t="inlineStr">
        <is>
          <t>نوع_تدفق</t>
        </is>
      </c>
      <c r="T1" s="2" t="inlineStr">
        <is>
          <t>يؤثر_في_الرصيد</t>
        </is>
      </c>
      <c r="U1" s="2" t="inlineStr">
        <is>
          <t>يُحسب_في_التدفق_التجاري</t>
        </is>
      </c>
      <c r="V1" s="2" t="inlineStr">
        <is>
          <t>حالة_السجل</t>
        </is>
      </c>
      <c r="W1" s="2" t="inlineStr">
        <is>
          <t>مرجع_الحركة_الأصلية</t>
        </is>
      </c>
      <c r="X1" s="2" t="inlineStr">
        <is>
          <t>مُعكَس_بواسطة</t>
        </is>
      </c>
      <c r="Y1" s="2" t="inlineStr">
        <is>
          <t>مفتاح_المقابل</t>
        </is>
      </c>
      <c r="Z1" s="2" t="inlineStr">
        <is>
          <t>عدد_تطابقات</t>
        </is>
      </c>
      <c r="AA1" s="2" t="inlineStr">
        <is>
          <t>خطأ_المقابل</t>
        </is>
      </c>
      <c r="AB1" s="2" t="inlineStr">
        <is>
          <t>الحساب_المقابل</t>
        </is>
      </c>
      <c r="AC1" s="2" t="inlineStr">
        <is>
          <t>يسمح_بالاعتماد</t>
        </is>
      </c>
      <c r="AD1" s="2" t="inlineStr">
        <is>
          <t>حالة_الاعتماد</t>
        </is>
      </c>
      <c r="AE1" s="2" t="inlineStr">
        <is>
          <t>الوصف</t>
        </is>
      </c>
    </row>
    <row r="2">
      <c r="D2" t="inlineStr">
        <is>
          <t>تحويل_داخلي</t>
        </is>
      </c>
      <c r="H2" t="inlineStr">
        <is>
          <t>TRF-INT</t>
        </is>
      </c>
      <c r="I2" t="inlineStr">
        <is>
          <t>OUT_SCOPE</t>
        </is>
      </c>
      <c r="S2" t="inlineStr">
        <is>
          <t>داخلي</t>
        </is>
      </c>
      <c r="T2" t="inlineStr">
        <is>
          <t>نعم</t>
        </is>
      </c>
      <c r="U2" t="inlineStr">
        <is>
          <t>لا</t>
        </is>
      </c>
      <c r="V2" t="inlineStr">
        <is>
          <t>معتمد</t>
        </is>
      </c>
      <c r="Y2">
        <f>IF([@كود_التصنيف]="","",[@كود_التصنيف]&amp;"|"&amp;[@نوع_الحركة]&amp;"|"&amp;[@كود_معالجة_ضريبية])</f>
        <v/>
      </c>
      <c r="Z2">
        <f>IF([@مفتاح_المقابل]="",0,COUNTIF(tblContra[مفتاح_الحساب_المقابل],[@مفتاح_المقابل]))</f>
        <v/>
      </c>
      <c r="AA2">
        <f>IF([@مفتاح_المقابل]="","",IF([@عدد_تطابقات]=0,"لا تطابق في دليل المقابل",IF([@عدد_تطابقات]&gt;1,"تطابق مكرر في الدليل","")))</f>
        <v/>
      </c>
      <c r="AB2">
        <f>IF([@عدد_تطابقات]&lt;&gt;1,"",_xlfn._xlws.XLOOKUP([@مفتاح_المقابل],tblContra[مفتاح_الحساب_المقابل],tblContra[كود_تحليلي],""))</f>
        <v/>
      </c>
      <c r="AC2">
        <f>IF(AND([@خطأ_المقابل]="",[@الحساب]&lt;&gt;"",OR([@مدين]&gt;0,[@دائن]&gt;0)),"نعم","لا")</f>
        <v/>
      </c>
      <c r="AF2" t="inlineStr">
        <is>
          <t>تعليمات: أدخل سطرين لكل TRX (دائن من / مدين إلى) — نوع_الحركة=تحويل_داخلي</t>
        </is>
      </c>
    </row>
    <row r="3">
      <c r="D3" t="inlineStr">
        <is>
          <t>تحويل_داخلي</t>
        </is>
      </c>
      <c r="H3" t="inlineStr">
        <is>
          <t>TRF-INT</t>
        </is>
      </c>
      <c r="I3" t="inlineStr">
        <is>
          <t>OUT_SCOPE</t>
        </is>
      </c>
      <c r="S3" t="inlineStr">
        <is>
          <t>داخلي</t>
        </is>
      </c>
      <c r="T3" t="inlineStr">
        <is>
          <t>نعم</t>
        </is>
      </c>
      <c r="U3" t="inlineStr">
        <is>
          <t>لا</t>
        </is>
      </c>
      <c r="V3" t="inlineStr">
        <is>
          <t>معتمد</t>
        </is>
      </c>
      <c r="Y3">
        <f>IF([@كود_التصنيف]="","",[@كود_التصنيف]&amp;"|"&amp;[@نوع_الحركة]&amp;"|"&amp;[@كود_معالجة_ضريبية])</f>
        <v/>
      </c>
      <c r="Z3">
        <f>IF([@مفتاح_المقابل]="",0,COUNTIF(tblContra[مفتاح_الحساب_المقابل],[@مفتاح_المقابل]))</f>
        <v/>
      </c>
      <c r="AA3">
        <f>IF([@مفتاح_المقابل]="","",IF([@عدد_تطابقات]=0,"لا تطابق في دليل المقابل",IF([@عدد_تطابقات]&gt;1,"تطابق مكرر في الدليل","")))</f>
        <v/>
      </c>
      <c r="AB3">
        <f>IF([@عدد_تطابقات]&lt;&gt;1,"",_xlfn._xlws.XLOOKUP([@مفتاح_المقابل],tblContra[مفتاح_الحساب_المقابل],tblContra[كود_تحليلي],""))</f>
        <v/>
      </c>
      <c r="AC3">
        <f>IF(AND([@خطأ_المقابل]="",[@الحساب]&lt;&gt;"",OR([@مدين]&gt;0,[@دائن]&gt;0)),"نعم","لا")</f>
        <v/>
      </c>
    </row>
    <row r="4">
      <c r="D4" t="inlineStr">
        <is>
          <t>تحويل_داخلي</t>
        </is>
      </c>
      <c r="H4" t="inlineStr">
        <is>
          <t>TRF-INT</t>
        </is>
      </c>
      <c r="I4" t="inlineStr">
        <is>
          <t>OUT_SCOPE</t>
        </is>
      </c>
      <c r="S4" t="inlineStr">
        <is>
          <t>داخلي</t>
        </is>
      </c>
      <c r="T4" t="inlineStr">
        <is>
          <t>نعم</t>
        </is>
      </c>
      <c r="U4" t="inlineStr">
        <is>
          <t>لا</t>
        </is>
      </c>
      <c r="V4" t="inlineStr">
        <is>
          <t>معتمد</t>
        </is>
      </c>
      <c r="Y4">
        <f>IF([@كود_التصنيف]="","",[@كود_التصنيف]&amp;"|"&amp;[@نوع_الحركة]&amp;"|"&amp;[@كود_معالجة_ضريبية])</f>
        <v/>
      </c>
      <c r="Z4">
        <f>IF([@مفتاح_المقابل]="",0,COUNTIF(tblContra[مفتاح_الحساب_المقابل],[@مفتاح_المقابل]))</f>
        <v/>
      </c>
      <c r="AA4">
        <f>IF([@مفتاح_المقابل]="","",IF([@عدد_تطابقات]=0,"لا تطابق في دليل المقابل",IF([@عدد_تطابقات]&gt;1,"تطابق مكرر في الدليل","")))</f>
        <v/>
      </c>
      <c r="AB4">
        <f>IF([@عدد_تطابقات]&lt;&gt;1,"",_xlfn._xlws.XLOOKUP([@مفتاح_المقابل],tblContra[مفتاح_الحساب_المقابل],tblContra[كود_تحليلي],""))</f>
        <v/>
      </c>
      <c r="AC4">
        <f>IF(AND([@خطأ_المقابل]="",[@الحساب]&lt;&gt;"",OR([@مدين]&gt;0,[@دائن]&gt;0)),"نعم","لا")</f>
        <v/>
      </c>
    </row>
    <row r="5">
      <c r="D5" t="inlineStr">
        <is>
          <t>تحويل_داخلي</t>
        </is>
      </c>
      <c r="H5" t="inlineStr">
        <is>
          <t>TRF-INT</t>
        </is>
      </c>
      <c r="I5" t="inlineStr">
        <is>
          <t>OUT_SCOPE</t>
        </is>
      </c>
      <c r="S5" t="inlineStr">
        <is>
          <t>داخلي</t>
        </is>
      </c>
      <c r="T5" t="inlineStr">
        <is>
          <t>نعم</t>
        </is>
      </c>
      <c r="U5" t="inlineStr">
        <is>
          <t>لا</t>
        </is>
      </c>
      <c r="V5" t="inlineStr">
        <is>
          <t>معتمد</t>
        </is>
      </c>
      <c r="Y5">
        <f>IF([@كود_التصنيف]="","",[@كود_التصنيف]&amp;"|"&amp;[@نوع_الحركة]&amp;"|"&amp;[@كود_معالجة_ضريبية])</f>
        <v/>
      </c>
      <c r="Z5">
        <f>IF([@مفتاح_المقابل]="",0,COUNTIF(tblContra[مفتاح_الحساب_المقابل],[@مفتاح_المقابل]))</f>
        <v/>
      </c>
      <c r="AA5">
        <f>IF([@مفتاح_المقابل]="","",IF([@عدد_تطابقات]=0,"لا تطابق في دليل المقابل",IF([@عدد_تطابقات]&gt;1,"تطابق مكرر في الدليل","")))</f>
        <v/>
      </c>
      <c r="AB5">
        <f>IF([@عدد_تطابقات]&lt;&gt;1,"",_xlfn._xlws.XLOOKUP([@مفتاح_المقابل],tblContra[مفتاح_الحساب_المقابل],tblContra[كود_تحليلي],""))</f>
        <v/>
      </c>
      <c r="AC5">
        <f>IF(AND([@خطأ_المقابل]="",[@الحساب]&lt;&gt;"",OR([@مدين]&gt;0,[@دائن]&gt;0)),"نعم","لا")</f>
        <v/>
      </c>
    </row>
    <row r="6">
      <c r="D6" t="inlineStr">
        <is>
          <t>تحويل_داخلي</t>
        </is>
      </c>
      <c r="H6" t="inlineStr">
        <is>
          <t>TRF-INT</t>
        </is>
      </c>
      <c r="I6" t="inlineStr">
        <is>
          <t>OUT_SCOPE</t>
        </is>
      </c>
      <c r="S6" t="inlineStr">
        <is>
          <t>داخلي</t>
        </is>
      </c>
      <c r="T6" t="inlineStr">
        <is>
          <t>نعم</t>
        </is>
      </c>
      <c r="U6" t="inlineStr">
        <is>
          <t>لا</t>
        </is>
      </c>
      <c r="V6" t="inlineStr">
        <is>
          <t>معتمد</t>
        </is>
      </c>
      <c r="Y6">
        <f>IF([@كود_التصنيف]="","",[@كود_التصنيف]&amp;"|"&amp;[@نوع_الحركة]&amp;"|"&amp;[@كود_معالجة_ضريبية])</f>
        <v/>
      </c>
      <c r="Z6">
        <f>IF([@مفتاح_المقابل]="",0,COUNTIF(tblContra[مفتاح_الحساب_المقابل],[@مفتاح_المقابل]))</f>
        <v/>
      </c>
      <c r="AA6">
        <f>IF([@مفتاح_المقابل]="","",IF([@عدد_تطابقات]=0,"لا تطابق في دليل المقابل",IF([@عدد_تطابقات]&gt;1,"تطابق مكرر في الدليل","")))</f>
        <v/>
      </c>
      <c r="AB6">
        <f>IF([@عدد_تطابقات]&lt;&gt;1,"",_xlfn._xlws.XLOOKUP([@مفتاح_المقابل],tblContra[مفتاح_الحساب_المقابل],tblContra[كود_تحليلي],""))</f>
        <v/>
      </c>
      <c r="AC6">
        <f>IF(AND([@خطأ_المقابل]="",[@الحساب]&lt;&gt;"",OR([@مدين]&gt;0,[@دائن]&gt;0)),"نعم","لا")</f>
        <v/>
      </c>
    </row>
    <row r="7">
      <c r="D7" t="inlineStr">
        <is>
          <t>تحويل_داخلي</t>
        </is>
      </c>
      <c r="H7" t="inlineStr">
        <is>
          <t>TRF-INT</t>
        </is>
      </c>
      <c r="I7" t="inlineStr">
        <is>
          <t>OUT_SCOPE</t>
        </is>
      </c>
      <c r="S7" t="inlineStr">
        <is>
          <t>داخلي</t>
        </is>
      </c>
      <c r="T7" t="inlineStr">
        <is>
          <t>نعم</t>
        </is>
      </c>
      <c r="U7" t="inlineStr">
        <is>
          <t>لا</t>
        </is>
      </c>
      <c r="V7" t="inlineStr">
        <is>
          <t>معتمد</t>
        </is>
      </c>
      <c r="Y7">
        <f>IF([@كود_التصنيف]="","",[@كود_التصنيف]&amp;"|"&amp;[@نوع_الحركة]&amp;"|"&amp;[@كود_معالجة_ضريبية])</f>
        <v/>
      </c>
      <c r="Z7">
        <f>IF([@مفتاح_المقابل]="",0,COUNTIF(tblContra[مفتاح_الحساب_المقابل],[@مفتاح_المقابل]))</f>
        <v/>
      </c>
      <c r="AA7">
        <f>IF([@مفتاح_المقابل]="","",IF([@عدد_تطابقات]=0,"لا تطابق في دليل المقابل",IF([@عدد_تطابقات]&gt;1,"تطابق مكرر في الدليل","")))</f>
        <v/>
      </c>
      <c r="AB7">
        <f>IF([@عدد_تطابقات]&lt;&gt;1,"",_xlfn._xlws.XLOOKUP([@مفتاح_المقابل],tblContra[مفتاح_الحساب_المقابل],tblContra[كود_تحليلي],""))</f>
        <v/>
      </c>
      <c r="AC7">
        <f>IF(AND([@خطأ_المقابل]="",[@الحساب]&lt;&gt;"",OR([@مدين]&gt;0,[@دائن]&gt;0)),"نعم","لا")</f>
        <v/>
      </c>
    </row>
    <row r="8">
      <c r="D8" t="inlineStr">
        <is>
          <t>تحويل_داخلي</t>
        </is>
      </c>
      <c r="H8" t="inlineStr">
        <is>
          <t>TRF-INT</t>
        </is>
      </c>
      <c r="I8" t="inlineStr">
        <is>
          <t>OUT_SCOPE</t>
        </is>
      </c>
      <c r="S8" t="inlineStr">
        <is>
          <t>داخلي</t>
        </is>
      </c>
      <c r="T8" t="inlineStr">
        <is>
          <t>نعم</t>
        </is>
      </c>
      <c r="U8" t="inlineStr">
        <is>
          <t>لا</t>
        </is>
      </c>
      <c r="V8" t="inlineStr">
        <is>
          <t>معتمد</t>
        </is>
      </c>
      <c r="Y8">
        <f>IF([@كود_التصنيف]="","",[@كود_التصنيف]&amp;"|"&amp;[@نوع_الحركة]&amp;"|"&amp;[@كود_معالجة_ضريبية])</f>
        <v/>
      </c>
      <c r="Z8">
        <f>IF([@مفتاح_المقابل]="",0,COUNTIF(tblContra[مفتاح_الحساب_المقابل],[@مفتاح_المقابل]))</f>
        <v/>
      </c>
      <c r="AA8">
        <f>IF([@مفتاح_المقابل]="","",IF([@عدد_تطابقات]=0,"لا تطابق في دليل المقابل",IF([@عدد_تطابقات]&gt;1,"تطابق مكرر في الدليل","")))</f>
        <v/>
      </c>
      <c r="AB8">
        <f>IF([@عدد_تطابقات]&lt;&gt;1,"",_xlfn._xlws.XLOOKUP([@مفتاح_المقابل],tblContra[مفتاح_الحساب_المقابل],tblContra[كود_تحليلي],""))</f>
        <v/>
      </c>
      <c r="AC8">
        <f>IF(AND([@خطأ_المقابل]="",[@الحساب]&lt;&gt;"",OR([@مدين]&gt;0,[@دائن]&gt;0)),"نعم","لا")</f>
        <v/>
      </c>
    </row>
    <row r="9">
      <c r="D9" t="inlineStr">
        <is>
          <t>تحويل_داخلي</t>
        </is>
      </c>
      <c r="H9" t="inlineStr">
        <is>
          <t>TRF-INT</t>
        </is>
      </c>
      <c r="I9" t="inlineStr">
        <is>
          <t>OUT_SCOPE</t>
        </is>
      </c>
      <c r="S9" t="inlineStr">
        <is>
          <t>داخلي</t>
        </is>
      </c>
      <c r="T9" t="inlineStr">
        <is>
          <t>نعم</t>
        </is>
      </c>
      <c r="U9" t="inlineStr">
        <is>
          <t>لا</t>
        </is>
      </c>
      <c r="V9" t="inlineStr">
        <is>
          <t>معتمد</t>
        </is>
      </c>
      <c r="Y9">
        <f>IF([@كود_التصنيف]="","",[@كود_التصنيف]&amp;"|"&amp;[@نوع_الحركة]&amp;"|"&amp;[@كود_معالجة_ضريبية])</f>
        <v/>
      </c>
      <c r="Z9">
        <f>IF([@مفتاح_المقابل]="",0,COUNTIF(tblContra[مفتاح_الحساب_المقابل],[@مفتاح_المقابل]))</f>
        <v/>
      </c>
      <c r="AA9">
        <f>IF([@مفتاح_المقابل]="","",IF([@عدد_تطابقات]=0,"لا تطابق في دليل المقابل",IF([@عدد_تطابقات]&gt;1,"تطابق مكرر في الدليل","")))</f>
        <v/>
      </c>
      <c r="AB9">
        <f>IF([@عدد_تطابقات]&lt;&gt;1,"",_xlfn._xlws.XLOOKUP([@مفتاح_المقابل],tblContra[مفتاح_الحساب_المقابل],tblContra[كود_تحليلي],""))</f>
        <v/>
      </c>
      <c r="AC9">
        <f>IF(AND([@خطأ_المقابل]="",[@الحساب]&lt;&gt;"",OR([@مدين]&gt;0,[@دائن]&gt;0)),"نعم","لا")</f>
        <v/>
      </c>
    </row>
    <row r="10">
      <c r="D10" t="inlineStr">
        <is>
          <t>تحويل_داخلي</t>
        </is>
      </c>
      <c r="H10" t="inlineStr">
        <is>
          <t>TRF-INT</t>
        </is>
      </c>
      <c r="I10" t="inlineStr">
        <is>
          <t>OUT_SCOPE</t>
        </is>
      </c>
      <c r="S10" t="inlineStr">
        <is>
          <t>داخلي</t>
        </is>
      </c>
      <c r="T10" t="inlineStr">
        <is>
          <t>نعم</t>
        </is>
      </c>
      <c r="U10" t="inlineStr">
        <is>
          <t>لا</t>
        </is>
      </c>
      <c r="V10" t="inlineStr">
        <is>
          <t>معتمد</t>
        </is>
      </c>
      <c r="Y10">
        <f>IF([@كود_التصنيف]="","",[@كود_التصنيف]&amp;"|"&amp;[@نوع_الحركة]&amp;"|"&amp;[@كود_معالجة_ضريبية])</f>
        <v/>
      </c>
      <c r="Z10">
        <f>IF([@مفتاح_المقابل]="",0,COUNTIF(tblContra[مفتاح_الحساب_المقابل],[@مفتاح_المقابل]))</f>
        <v/>
      </c>
      <c r="AA10">
        <f>IF([@مفتاح_المقابل]="","",IF([@عدد_تطابقات]=0,"لا تطابق في دليل المقابل",IF([@عدد_تطابقات]&gt;1,"تطابق مكرر في الدليل","")))</f>
        <v/>
      </c>
      <c r="AB10">
        <f>IF([@عدد_تطابقات]&lt;&gt;1,"",_xlfn._xlws.XLOOKUP([@مفتاح_المقابل],tblContra[مفتاح_الحساب_المقابل],tblContra[كود_تحليلي],""))</f>
        <v/>
      </c>
      <c r="AC10">
        <f>IF(AND([@خطأ_المقابل]="",[@الحساب]&lt;&gt;"",OR([@مدين]&gt;0,[@دائن]&gt;0)),"نعم","لا")</f>
        <v/>
      </c>
    </row>
    <row r="11">
      <c r="D11" t="inlineStr">
        <is>
          <t>تحويل_داخلي</t>
        </is>
      </c>
      <c r="H11" t="inlineStr">
        <is>
          <t>TRF-INT</t>
        </is>
      </c>
      <c r="I11" t="inlineStr">
        <is>
          <t>OUT_SCOPE</t>
        </is>
      </c>
      <c r="S11" t="inlineStr">
        <is>
          <t>داخلي</t>
        </is>
      </c>
      <c r="T11" t="inlineStr">
        <is>
          <t>نعم</t>
        </is>
      </c>
      <c r="U11" t="inlineStr">
        <is>
          <t>لا</t>
        </is>
      </c>
      <c r="V11" t="inlineStr">
        <is>
          <t>معتمد</t>
        </is>
      </c>
      <c r="Y11">
        <f>IF([@كود_التصنيف]="","",[@كود_التصنيف]&amp;"|"&amp;[@نوع_الحركة]&amp;"|"&amp;[@كود_معالجة_ضريبية])</f>
        <v/>
      </c>
      <c r="Z11">
        <f>IF([@مفتاح_المقابل]="",0,COUNTIF(tblContra[مفتاح_الحساب_المقابل],[@مفتاح_المقابل]))</f>
        <v/>
      </c>
      <c r="AA11">
        <f>IF([@مفتاح_المقابل]="","",IF([@عدد_تطابقات]=0,"لا تطابق في دليل المقابل",IF([@عدد_تطابقات]&gt;1,"تطابق مكرر في الدليل","")))</f>
        <v/>
      </c>
      <c r="AB11">
        <f>IF([@عدد_تطابقات]&lt;&gt;1,"",_xlfn._xlws.XLOOKUP([@مفتاح_المقابل],tblContra[مفتاح_الحساب_المقابل],tblContra[كود_تحليلي],""))</f>
        <v/>
      </c>
      <c r="AC11">
        <f>IF(AND([@خطأ_المقابل]="",[@الحساب]&lt;&gt;"",OR([@مدين]&gt;0,[@دائن]&gt;0)),"نعم","لا")</f>
        <v/>
      </c>
    </row>
    <row r="12">
      <c r="D12" t="inlineStr">
        <is>
          <t>تحويل_داخلي</t>
        </is>
      </c>
      <c r="H12" t="inlineStr">
        <is>
          <t>TRF-INT</t>
        </is>
      </c>
      <c r="I12" t="inlineStr">
        <is>
          <t>OUT_SCOPE</t>
        </is>
      </c>
      <c r="S12" t="inlineStr">
        <is>
          <t>داخلي</t>
        </is>
      </c>
      <c r="T12" t="inlineStr">
        <is>
          <t>نعم</t>
        </is>
      </c>
      <c r="U12" t="inlineStr">
        <is>
          <t>لا</t>
        </is>
      </c>
      <c r="V12" t="inlineStr">
        <is>
          <t>معتمد</t>
        </is>
      </c>
      <c r="Y12">
        <f>IF([@كود_التصنيف]="","",[@كود_التصنيف]&amp;"|"&amp;[@نوع_الحركة]&amp;"|"&amp;[@كود_معالجة_ضريبية])</f>
        <v/>
      </c>
      <c r="Z12">
        <f>IF([@مفتاح_المقابل]="",0,COUNTIF(tblContra[مفتاح_الحساب_المقابل],[@مفتاح_المقابل]))</f>
        <v/>
      </c>
      <c r="AA12">
        <f>IF([@مفتاح_المقابل]="","",IF([@عدد_تطابقات]=0,"لا تطابق في دليل المقابل",IF([@عدد_تطابقات]&gt;1,"تطابق مكرر في الدليل","")))</f>
        <v/>
      </c>
      <c r="AB12">
        <f>IF([@عدد_تطابقات]&lt;&gt;1,"",_xlfn._xlws.XLOOKUP([@مفتاح_المقابل],tblContra[مفتاح_الحساب_المقابل],tblContra[كود_تحليلي],""))</f>
        <v/>
      </c>
      <c r="AC12">
        <f>IF(AND([@خطأ_المقابل]="",[@الحساب]&lt;&gt;"",OR([@مدين]&gt;0,[@دائن]&gt;0)),"نعم","لا")</f>
        <v/>
      </c>
    </row>
    <row r="13">
      <c r="D13" t="inlineStr">
        <is>
          <t>تحويل_داخلي</t>
        </is>
      </c>
      <c r="H13" t="inlineStr">
        <is>
          <t>TRF-INT</t>
        </is>
      </c>
      <c r="I13" t="inlineStr">
        <is>
          <t>OUT_SCOPE</t>
        </is>
      </c>
      <c r="S13" t="inlineStr">
        <is>
          <t>داخلي</t>
        </is>
      </c>
      <c r="T13" t="inlineStr">
        <is>
          <t>نعم</t>
        </is>
      </c>
      <c r="U13" t="inlineStr">
        <is>
          <t>لا</t>
        </is>
      </c>
      <c r="V13" t="inlineStr">
        <is>
          <t>معتمد</t>
        </is>
      </c>
      <c r="Y13">
        <f>IF([@كود_التصنيف]="","",[@كود_التصنيف]&amp;"|"&amp;[@نوع_الحركة]&amp;"|"&amp;[@كود_معالجة_ضريبية])</f>
        <v/>
      </c>
      <c r="Z13">
        <f>IF([@مفتاح_المقابل]="",0,COUNTIF(tblContra[مفتاح_الحساب_المقابل],[@مفتاح_المقابل]))</f>
        <v/>
      </c>
      <c r="AA13">
        <f>IF([@مفتاح_المقابل]="","",IF([@عدد_تطابقات]=0,"لا تطابق في دليل المقابل",IF([@عدد_تطابقات]&gt;1,"تطابق مكرر في الدليل","")))</f>
        <v/>
      </c>
      <c r="AB13">
        <f>IF([@عدد_تطابقات]&lt;&gt;1,"",_xlfn._xlws.XLOOKUP([@مفتاح_المقابل],tblContra[مفتاح_الحساب_المقابل],tblContra[كود_تحليلي],""))</f>
        <v/>
      </c>
      <c r="AC13">
        <f>IF(AND([@خطأ_المقابل]="",[@الحساب]&lt;&gt;"",OR([@مدين]&gt;0,[@دائن]&gt;0)),"نعم","لا")</f>
        <v/>
      </c>
    </row>
    <row r="14">
      <c r="D14" t="inlineStr">
        <is>
          <t>تحويل_داخلي</t>
        </is>
      </c>
      <c r="H14" t="inlineStr">
        <is>
          <t>TRF-INT</t>
        </is>
      </c>
      <c r="I14" t="inlineStr">
        <is>
          <t>OUT_SCOPE</t>
        </is>
      </c>
      <c r="S14" t="inlineStr">
        <is>
          <t>داخلي</t>
        </is>
      </c>
      <c r="T14" t="inlineStr">
        <is>
          <t>نعم</t>
        </is>
      </c>
      <c r="U14" t="inlineStr">
        <is>
          <t>لا</t>
        </is>
      </c>
      <c r="V14" t="inlineStr">
        <is>
          <t>معتمد</t>
        </is>
      </c>
      <c r="Y14">
        <f>IF([@كود_التصنيف]="","",[@كود_التصنيف]&amp;"|"&amp;[@نوع_الحركة]&amp;"|"&amp;[@كود_معالجة_ضريبية])</f>
        <v/>
      </c>
      <c r="Z14">
        <f>IF([@مفتاح_المقابل]="",0,COUNTIF(tblContra[مفتاح_الحساب_المقابل],[@مفتاح_المقابل]))</f>
        <v/>
      </c>
      <c r="AA14">
        <f>IF([@مفتاح_المقابل]="","",IF([@عدد_تطابقات]=0,"لا تطابق في دليل المقابل",IF([@عدد_تطابقات]&gt;1,"تطابق مكرر في الدليل","")))</f>
        <v/>
      </c>
      <c r="AB14">
        <f>IF([@عدد_تطابقات]&lt;&gt;1,"",_xlfn._xlws.XLOOKUP([@مفتاح_المقابل],tblContra[مفتاح_الحساب_المقابل],tblContra[كود_تحليلي],""))</f>
        <v/>
      </c>
      <c r="AC14">
        <f>IF(AND([@خطأ_المقابل]="",[@الحساب]&lt;&gt;"",OR([@مدين]&gt;0,[@دائن]&gt;0)),"نعم","لا")</f>
        <v/>
      </c>
    </row>
    <row r="15">
      <c r="D15" t="inlineStr">
        <is>
          <t>تحويل_داخلي</t>
        </is>
      </c>
      <c r="H15" t="inlineStr">
        <is>
          <t>TRF-INT</t>
        </is>
      </c>
      <c r="I15" t="inlineStr">
        <is>
          <t>OUT_SCOPE</t>
        </is>
      </c>
      <c r="S15" t="inlineStr">
        <is>
          <t>داخلي</t>
        </is>
      </c>
      <c r="T15" t="inlineStr">
        <is>
          <t>نعم</t>
        </is>
      </c>
      <c r="U15" t="inlineStr">
        <is>
          <t>لا</t>
        </is>
      </c>
      <c r="V15" t="inlineStr">
        <is>
          <t>معتمد</t>
        </is>
      </c>
      <c r="Y15">
        <f>IF([@كود_التصنيف]="","",[@كود_التصنيف]&amp;"|"&amp;[@نوع_الحركة]&amp;"|"&amp;[@كود_معالجة_ضريبية])</f>
        <v/>
      </c>
      <c r="Z15">
        <f>IF([@مفتاح_المقابل]="",0,COUNTIF(tblContra[مفتاح_الحساب_المقابل],[@مفتاح_المقابل]))</f>
        <v/>
      </c>
      <c r="AA15">
        <f>IF([@مفتاح_المقابل]="","",IF([@عدد_تطابقات]=0,"لا تطابق في دليل المقابل",IF([@عدد_تطابقات]&gt;1,"تطابق مكرر في الدليل","")))</f>
        <v/>
      </c>
      <c r="AB15">
        <f>IF([@عدد_تطابقات]&lt;&gt;1,"",_xlfn._xlws.XLOOKUP([@مفتاح_المقابل],tblContra[مفتاح_الحساب_المقابل],tblContra[كود_تحليلي],""))</f>
        <v/>
      </c>
      <c r="AC15">
        <f>IF(AND([@خطأ_المقابل]="",[@الحساب]&lt;&gt;"",OR([@مدين]&gt;0,[@دائن]&gt;0)),"نعم","لا")</f>
        <v/>
      </c>
    </row>
    <row r="16">
      <c r="D16" t="inlineStr">
        <is>
          <t>تحويل_داخلي</t>
        </is>
      </c>
      <c r="H16" t="inlineStr">
        <is>
          <t>TRF-INT</t>
        </is>
      </c>
      <c r="I16" t="inlineStr">
        <is>
          <t>OUT_SCOPE</t>
        </is>
      </c>
      <c r="S16" t="inlineStr">
        <is>
          <t>داخلي</t>
        </is>
      </c>
      <c r="T16" t="inlineStr">
        <is>
          <t>نعم</t>
        </is>
      </c>
      <c r="U16" t="inlineStr">
        <is>
          <t>لا</t>
        </is>
      </c>
      <c r="V16" t="inlineStr">
        <is>
          <t>معتمد</t>
        </is>
      </c>
      <c r="Y16">
        <f>IF([@كود_التصنيف]="","",[@كود_التصنيف]&amp;"|"&amp;[@نوع_الحركة]&amp;"|"&amp;[@كود_معالجة_ضريبية])</f>
        <v/>
      </c>
      <c r="Z16">
        <f>IF([@مفتاح_المقابل]="",0,COUNTIF(tblContra[مفتاح_الحساب_المقابل],[@مفتاح_المقابل]))</f>
        <v/>
      </c>
      <c r="AA16">
        <f>IF([@مفتاح_المقابل]="","",IF([@عدد_تطابقات]=0,"لا تطابق في دليل المقابل",IF([@عدد_تطابقات]&gt;1,"تطابق مكرر في الدليل","")))</f>
        <v/>
      </c>
      <c r="AB16">
        <f>IF([@عدد_تطابقات]&lt;&gt;1,"",_xlfn._xlws.XLOOKUP([@مفتاح_المقابل],tblContra[مفتاح_الحساب_المقابل],tblContra[كود_تحليلي],""))</f>
        <v/>
      </c>
      <c r="AC16">
        <f>IF(AND([@خطأ_المقابل]="",[@الحساب]&lt;&gt;"",OR([@مدين]&gt;0,[@دائن]&gt;0)),"نعم","لا")</f>
        <v/>
      </c>
    </row>
    <row r="17">
      <c r="D17" t="inlineStr">
        <is>
          <t>تحويل_داخلي</t>
        </is>
      </c>
      <c r="H17" t="inlineStr">
        <is>
          <t>TRF-INT</t>
        </is>
      </c>
      <c r="I17" t="inlineStr">
        <is>
          <t>OUT_SCOPE</t>
        </is>
      </c>
      <c r="S17" t="inlineStr">
        <is>
          <t>داخلي</t>
        </is>
      </c>
      <c r="T17" t="inlineStr">
        <is>
          <t>نعم</t>
        </is>
      </c>
      <c r="U17" t="inlineStr">
        <is>
          <t>لا</t>
        </is>
      </c>
      <c r="V17" t="inlineStr">
        <is>
          <t>معتمد</t>
        </is>
      </c>
      <c r="Y17">
        <f>IF([@كود_التصنيف]="","",[@كود_التصنيف]&amp;"|"&amp;[@نوع_الحركة]&amp;"|"&amp;[@كود_معالجة_ضريبية])</f>
        <v/>
      </c>
      <c r="Z17">
        <f>IF([@مفتاح_المقابل]="",0,COUNTIF(tblContra[مفتاح_الحساب_المقابل],[@مفتاح_المقابل]))</f>
        <v/>
      </c>
      <c r="AA17">
        <f>IF([@مفتاح_المقابل]="","",IF([@عدد_تطابقات]=0,"لا تطابق في دليل المقابل",IF([@عدد_تطابقات]&gt;1,"تطابق مكرر في الدليل","")))</f>
        <v/>
      </c>
      <c r="AB17">
        <f>IF([@عدد_تطابقات]&lt;&gt;1,"",_xlfn._xlws.XLOOKUP([@مفتاح_المقابل],tblContra[مفتاح_الحساب_المقابل],tblContra[كود_تحليلي],""))</f>
        <v/>
      </c>
      <c r="AC17">
        <f>IF(AND([@خطأ_المقابل]="",[@الحساب]&lt;&gt;"",OR([@مدين]&gt;0,[@دائن]&gt;0)),"نعم","لا")</f>
        <v/>
      </c>
    </row>
    <row r="18">
      <c r="D18" t="inlineStr">
        <is>
          <t>تحويل_داخلي</t>
        </is>
      </c>
      <c r="H18" t="inlineStr">
        <is>
          <t>TRF-INT</t>
        </is>
      </c>
      <c r="I18" t="inlineStr">
        <is>
          <t>OUT_SCOPE</t>
        </is>
      </c>
      <c r="S18" t="inlineStr">
        <is>
          <t>داخلي</t>
        </is>
      </c>
      <c r="T18" t="inlineStr">
        <is>
          <t>نعم</t>
        </is>
      </c>
      <c r="U18" t="inlineStr">
        <is>
          <t>لا</t>
        </is>
      </c>
      <c r="V18" t="inlineStr">
        <is>
          <t>معتمد</t>
        </is>
      </c>
      <c r="Y18">
        <f>IF([@كود_التصنيف]="","",[@كود_التصنيف]&amp;"|"&amp;[@نوع_الحركة]&amp;"|"&amp;[@كود_معالجة_ضريبية])</f>
        <v/>
      </c>
      <c r="Z18">
        <f>IF([@مفتاح_المقابل]="",0,COUNTIF(tblContra[مفتاح_الحساب_المقابل],[@مفتاح_المقابل]))</f>
        <v/>
      </c>
      <c r="AA18">
        <f>IF([@مفتاح_المقابل]="","",IF([@عدد_تطابقات]=0,"لا تطابق في دليل المقابل",IF([@عدد_تطابقات]&gt;1,"تطابق مكرر في الدليل","")))</f>
        <v/>
      </c>
      <c r="AB18">
        <f>IF([@عدد_تطابقات]&lt;&gt;1,"",_xlfn._xlws.XLOOKUP([@مفتاح_المقابل],tblContra[مفتاح_الحساب_المقابل],tblContra[كود_تحليلي],""))</f>
        <v/>
      </c>
      <c r="AC18">
        <f>IF(AND([@خطأ_المقابل]="",[@الحساب]&lt;&gt;"",OR([@مدين]&gt;0,[@دائن]&gt;0)),"نعم","لا")</f>
        <v/>
      </c>
    </row>
    <row r="19">
      <c r="D19" t="inlineStr">
        <is>
          <t>تحويل_داخلي</t>
        </is>
      </c>
      <c r="H19" t="inlineStr">
        <is>
          <t>TRF-INT</t>
        </is>
      </c>
      <c r="I19" t="inlineStr">
        <is>
          <t>OUT_SCOPE</t>
        </is>
      </c>
      <c r="S19" t="inlineStr">
        <is>
          <t>داخلي</t>
        </is>
      </c>
      <c r="T19" t="inlineStr">
        <is>
          <t>نعم</t>
        </is>
      </c>
      <c r="U19" t="inlineStr">
        <is>
          <t>لا</t>
        </is>
      </c>
      <c r="V19" t="inlineStr">
        <is>
          <t>معتمد</t>
        </is>
      </c>
      <c r="Y19">
        <f>IF([@كود_التصنيف]="","",[@كود_التصنيف]&amp;"|"&amp;[@نوع_الحركة]&amp;"|"&amp;[@كود_معالجة_ضريبية])</f>
        <v/>
      </c>
      <c r="Z19">
        <f>IF([@مفتاح_المقابل]="",0,COUNTIF(tblContra[مفتاح_الحساب_المقابل],[@مفتاح_المقابل]))</f>
        <v/>
      </c>
      <c r="AA19">
        <f>IF([@مفتاح_المقابل]="","",IF([@عدد_تطابقات]=0,"لا تطابق في دليل المقابل",IF([@عدد_تطابقات]&gt;1,"تطابق مكرر في الدليل","")))</f>
        <v/>
      </c>
      <c r="AB19">
        <f>IF([@عدد_تطابقات]&lt;&gt;1,"",_xlfn._xlws.XLOOKUP([@مفتاح_المقابل],tblContra[مفتاح_الحساب_المقابل],tblContra[كود_تحليلي],""))</f>
        <v/>
      </c>
      <c r="AC19">
        <f>IF(AND([@خطأ_المقابل]="",[@الحساب]&lt;&gt;"",OR([@مدين]&gt;0,[@دائن]&gt;0)),"نعم","لا")</f>
        <v/>
      </c>
    </row>
    <row r="20">
      <c r="D20" t="inlineStr">
        <is>
          <t>تحويل_داخلي</t>
        </is>
      </c>
      <c r="H20" t="inlineStr">
        <is>
          <t>TRF-INT</t>
        </is>
      </c>
      <c r="I20" t="inlineStr">
        <is>
          <t>OUT_SCOPE</t>
        </is>
      </c>
      <c r="S20" t="inlineStr">
        <is>
          <t>داخلي</t>
        </is>
      </c>
      <c r="T20" t="inlineStr">
        <is>
          <t>نعم</t>
        </is>
      </c>
      <c r="U20" t="inlineStr">
        <is>
          <t>لا</t>
        </is>
      </c>
      <c r="V20" t="inlineStr">
        <is>
          <t>معتمد</t>
        </is>
      </c>
      <c r="Y20">
        <f>IF([@كود_التصنيف]="","",[@كود_التصنيف]&amp;"|"&amp;[@نوع_الحركة]&amp;"|"&amp;[@كود_معالجة_ضريبية])</f>
        <v/>
      </c>
      <c r="Z20">
        <f>IF([@مفتاح_المقابل]="",0,COUNTIF(tblContra[مفتاح_الحساب_المقابل],[@مفتاح_المقابل]))</f>
        <v/>
      </c>
      <c r="AA20">
        <f>IF([@مفتاح_المقابل]="","",IF([@عدد_تطابقات]=0,"لا تطابق في دليل المقابل",IF([@عدد_تطابقات]&gt;1,"تطابق مكرر في الدليل","")))</f>
        <v/>
      </c>
      <c r="AB20">
        <f>IF([@عدد_تطابقات]&lt;&gt;1,"",_xlfn._xlws.XLOOKUP([@مفتاح_المقابل],tblContra[مفتاح_الحساب_المقابل],tblContra[كود_تحليلي],""))</f>
        <v/>
      </c>
      <c r="AC20">
        <f>IF(AND([@خطأ_المقابل]="",[@الحساب]&lt;&gt;"",OR([@مدين]&gt;0,[@دائن]&gt;0)),"نعم","لا")</f>
        <v/>
      </c>
    </row>
    <row r="21">
      <c r="D21" t="inlineStr">
        <is>
          <t>تحويل_داخلي</t>
        </is>
      </c>
      <c r="H21" t="inlineStr">
        <is>
          <t>TRF-INT</t>
        </is>
      </c>
      <c r="I21" t="inlineStr">
        <is>
          <t>OUT_SCOPE</t>
        </is>
      </c>
      <c r="S21" t="inlineStr">
        <is>
          <t>داخلي</t>
        </is>
      </c>
      <c r="T21" t="inlineStr">
        <is>
          <t>نعم</t>
        </is>
      </c>
      <c r="U21" t="inlineStr">
        <is>
          <t>لا</t>
        </is>
      </c>
      <c r="V21" t="inlineStr">
        <is>
          <t>معتمد</t>
        </is>
      </c>
      <c r="Y21">
        <f>IF([@كود_التصنيف]="","",[@كود_التصنيف]&amp;"|"&amp;[@نوع_الحركة]&amp;"|"&amp;[@كود_معالجة_ضريبية])</f>
        <v/>
      </c>
      <c r="Z21">
        <f>IF([@مفتاح_المقابل]="",0,COUNTIF(tblContra[مفتاح_الحساب_المقابل],[@مفتاح_المقابل]))</f>
        <v/>
      </c>
      <c r="AA21">
        <f>IF([@مفتاح_المقابل]="","",IF([@عدد_تطابقات]=0,"لا تطابق في دليل المقابل",IF([@عدد_تطابقات]&gt;1,"تطابق مكرر في الدليل","")))</f>
        <v/>
      </c>
      <c r="AB21">
        <f>IF([@عدد_تطابقات]&lt;&gt;1,"",_xlfn._xlws.XLOOKUP([@مفتاح_المقابل],tblContra[مفتاح_الحساب_المقابل],tblContra[كود_تحليلي],""))</f>
        <v/>
      </c>
      <c r="AC21">
        <f>IF(AND([@خطأ_المقابل]="",[@الحساب]&lt;&gt;"",OR([@مدين]&gt;0,[@دائن]&gt;0)),"نعم","لا")</f>
        <v/>
      </c>
    </row>
    <row r="22">
      <c r="D22" t="inlineStr">
        <is>
          <t>تحويل_داخلي</t>
        </is>
      </c>
      <c r="H22" t="inlineStr">
        <is>
          <t>TRF-INT</t>
        </is>
      </c>
      <c r="I22" t="inlineStr">
        <is>
          <t>OUT_SCOPE</t>
        </is>
      </c>
      <c r="S22" t="inlineStr">
        <is>
          <t>داخلي</t>
        </is>
      </c>
      <c r="T22" t="inlineStr">
        <is>
          <t>نعم</t>
        </is>
      </c>
      <c r="U22" t="inlineStr">
        <is>
          <t>لا</t>
        </is>
      </c>
      <c r="V22" t="inlineStr">
        <is>
          <t>معتمد</t>
        </is>
      </c>
      <c r="Y22">
        <f>IF([@كود_التصنيف]="","",[@كود_التصنيف]&amp;"|"&amp;[@نوع_الحركة]&amp;"|"&amp;[@كود_معالجة_ضريبية])</f>
        <v/>
      </c>
      <c r="Z22">
        <f>IF([@مفتاح_المقابل]="",0,COUNTIF(tblContra[مفتاح_الحساب_المقابل],[@مفتاح_المقابل]))</f>
        <v/>
      </c>
      <c r="AA22">
        <f>IF([@مفتاح_المقابل]="","",IF([@عدد_تطابقات]=0,"لا تطابق في دليل المقابل",IF([@عدد_تطابقات]&gt;1,"تطابق مكرر في الدليل","")))</f>
        <v/>
      </c>
      <c r="AB22">
        <f>IF([@عدد_تطابقات]&lt;&gt;1,"",_xlfn._xlws.XLOOKUP([@مفتاح_المقابل],tblContra[مفتاح_الحساب_المقابل],tblContra[كود_تحليلي],""))</f>
        <v/>
      </c>
      <c r="AC22">
        <f>IF(AND([@خطأ_المقابل]="",[@الحساب]&lt;&gt;"",OR([@مدين]&gt;0,[@دائن]&gt;0)),"نعم","لا")</f>
        <v/>
      </c>
    </row>
    <row r="23">
      <c r="D23" t="inlineStr">
        <is>
          <t>تحويل_داخلي</t>
        </is>
      </c>
      <c r="H23" t="inlineStr">
        <is>
          <t>TRF-INT</t>
        </is>
      </c>
      <c r="I23" t="inlineStr">
        <is>
          <t>OUT_SCOPE</t>
        </is>
      </c>
      <c r="S23" t="inlineStr">
        <is>
          <t>داخلي</t>
        </is>
      </c>
      <c r="T23" t="inlineStr">
        <is>
          <t>نعم</t>
        </is>
      </c>
      <c r="U23" t="inlineStr">
        <is>
          <t>لا</t>
        </is>
      </c>
      <c r="V23" t="inlineStr">
        <is>
          <t>معتمد</t>
        </is>
      </c>
      <c r="Y23">
        <f>IF([@كود_التصنيف]="","",[@كود_التصنيف]&amp;"|"&amp;[@نوع_الحركة]&amp;"|"&amp;[@كود_معالجة_ضريبية])</f>
        <v/>
      </c>
      <c r="Z23">
        <f>IF([@مفتاح_المقابل]="",0,COUNTIF(tblContra[مفتاح_الحساب_المقابل],[@مفتاح_المقابل]))</f>
        <v/>
      </c>
      <c r="AA23">
        <f>IF([@مفتاح_المقابل]="","",IF([@عدد_تطابقات]=0,"لا تطابق في دليل المقابل",IF([@عدد_تطابقات]&gt;1,"تطابق مكرر في الدليل","")))</f>
        <v/>
      </c>
      <c r="AB23">
        <f>IF([@عدد_تطابقات]&lt;&gt;1,"",_xlfn._xlws.XLOOKUP([@مفتاح_المقابل],tblContra[مفتاح_الحساب_المقابل],tblContra[كود_تحليلي],""))</f>
        <v/>
      </c>
      <c r="AC23">
        <f>IF(AND([@خطأ_المقابل]="",[@الحساب]&lt;&gt;"",OR([@مدين]&gt;0,[@دائن]&gt;0)),"نعم","لا")</f>
        <v/>
      </c>
    </row>
    <row r="24">
      <c r="D24" t="inlineStr">
        <is>
          <t>تحويل_داخلي</t>
        </is>
      </c>
      <c r="H24" t="inlineStr">
        <is>
          <t>TRF-INT</t>
        </is>
      </c>
      <c r="I24" t="inlineStr">
        <is>
          <t>OUT_SCOPE</t>
        </is>
      </c>
      <c r="S24" t="inlineStr">
        <is>
          <t>داخلي</t>
        </is>
      </c>
      <c r="T24" t="inlineStr">
        <is>
          <t>نعم</t>
        </is>
      </c>
      <c r="U24" t="inlineStr">
        <is>
          <t>لا</t>
        </is>
      </c>
      <c r="V24" t="inlineStr">
        <is>
          <t>معتمد</t>
        </is>
      </c>
      <c r="Y24">
        <f>IF([@كود_التصنيف]="","",[@كود_التصنيف]&amp;"|"&amp;[@نوع_الحركة]&amp;"|"&amp;[@كود_معالجة_ضريبية])</f>
        <v/>
      </c>
      <c r="Z24">
        <f>IF([@مفتاح_المقابل]="",0,COUNTIF(tblContra[مفتاح_الحساب_المقابل],[@مفتاح_المقابل]))</f>
        <v/>
      </c>
      <c r="AA24">
        <f>IF([@مفتاح_المقابل]="","",IF([@عدد_تطابقات]=0,"لا تطابق في دليل المقابل",IF([@عدد_تطابقات]&gt;1,"تطابق مكرر في الدليل","")))</f>
        <v/>
      </c>
      <c r="AB24">
        <f>IF([@عدد_تطابقات]&lt;&gt;1,"",_xlfn._xlws.XLOOKUP([@مفتاح_المقابل],tblContra[مفتاح_الحساب_المقابل],tblContra[كود_تحليلي],""))</f>
        <v/>
      </c>
      <c r="AC24">
        <f>IF(AND([@خطأ_المقابل]="",[@الحساب]&lt;&gt;"",OR([@مدين]&gt;0,[@دائن]&gt;0)),"نعم","لا")</f>
        <v/>
      </c>
    </row>
    <row r="25">
      <c r="D25" t="inlineStr">
        <is>
          <t>تحويل_داخلي</t>
        </is>
      </c>
      <c r="H25" t="inlineStr">
        <is>
          <t>TRF-INT</t>
        </is>
      </c>
      <c r="I25" t="inlineStr">
        <is>
          <t>OUT_SCOPE</t>
        </is>
      </c>
      <c r="S25" t="inlineStr">
        <is>
          <t>داخلي</t>
        </is>
      </c>
      <c r="T25" t="inlineStr">
        <is>
          <t>نعم</t>
        </is>
      </c>
      <c r="U25" t="inlineStr">
        <is>
          <t>لا</t>
        </is>
      </c>
      <c r="V25" t="inlineStr">
        <is>
          <t>معتمد</t>
        </is>
      </c>
      <c r="Y25">
        <f>IF([@كود_التصنيف]="","",[@كود_التصنيف]&amp;"|"&amp;[@نوع_الحركة]&amp;"|"&amp;[@كود_معالجة_ضريبية])</f>
        <v/>
      </c>
      <c r="Z25">
        <f>IF([@مفتاح_المقابل]="",0,COUNTIF(tblContra[مفتاح_الحساب_المقابل],[@مفتاح_المقابل]))</f>
        <v/>
      </c>
      <c r="AA25">
        <f>IF([@مفتاح_المقابل]="","",IF([@عدد_تطابقات]=0,"لا تطابق في دليل المقابل",IF([@عدد_تطابقات]&gt;1,"تطابق مكرر في الدليل","")))</f>
        <v/>
      </c>
      <c r="AB25">
        <f>IF([@عدد_تطابقات]&lt;&gt;1,"",_xlfn._xlws.XLOOKUP([@مفتاح_المقابل],tblContra[مفتاح_الحساب_المقابل],tblContra[كود_تحليلي],""))</f>
        <v/>
      </c>
      <c r="AC25">
        <f>IF(AND([@خطأ_المقابل]="",[@الحساب]&lt;&gt;"",OR([@مدين]&gt;0,[@دائن]&gt;0)),"نعم","لا")</f>
        <v/>
      </c>
    </row>
    <row r="26">
      <c r="D26" t="inlineStr">
        <is>
          <t>تحويل_داخلي</t>
        </is>
      </c>
      <c r="H26" t="inlineStr">
        <is>
          <t>TRF-INT</t>
        </is>
      </c>
      <c r="I26" t="inlineStr">
        <is>
          <t>OUT_SCOPE</t>
        </is>
      </c>
      <c r="S26" t="inlineStr">
        <is>
          <t>داخلي</t>
        </is>
      </c>
      <c r="T26" t="inlineStr">
        <is>
          <t>نعم</t>
        </is>
      </c>
      <c r="U26" t="inlineStr">
        <is>
          <t>لا</t>
        </is>
      </c>
      <c r="V26" t="inlineStr">
        <is>
          <t>معتمد</t>
        </is>
      </c>
      <c r="Y26">
        <f>IF([@كود_التصنيف]="","",[@كود_التصنيف]&amp;"|"&amp;[@نوع_الحركة]&amp;"|"&amp;[@كود_معالجة_ضريبية])</f>
        <v/>
      </c>
      <c r="Z26">
        <f>IF([@مفتاح_المقابل]="",0,COUNTIF(tblContra[مفتاح_الحساب_المقابل],[@مفتاح_المقابل]))</f>
        <v/>
      </c>
      <c r="AA26">
        <f>IF([@مفتاح_المقابل]="","",IF([@عدد_تطابقات]=0,"لا تطابق في دليل المقابل",IF([@عدد_تطابقات]&gt;1,"تطابق مكرر في الدليل","")))</f>
        <v/>
      </c>
      <c r="AB26">
        <f>IF([@عدد_تطابقات]&lt;&gt;1,"",_xlfn._xlws.XLOOKUP([@مفتاح_المقابل],tblContra[مفتاح_الحساب_المقابل],tblContra[كود_تحليلي],""))</f>
        <v/>
      </c>
      <c r="AC26">
        <f>IF(AND([@خطأ_المقابل]="",[@الحساب]&lt;&gt;"",OR([@مدين]&gt;0,[@دائن]&gt;0)),"نعم","لا")</f>
        <v/>
      </c>
    </row>
    <row r="27">
      <c r="D27" t="inlineStr">
        <is>
          <t>تحويل_داخلي</t>
        </is>
      </c>
      <c r="H27" t="inlineStr">
        <is>
          <t>TRF-INT</t>
        </is>
      </c>
      <c r="I27" t="inlineStr">
        <is>
          <t>OUT_SCOPE</t>
        </is>
      </c>
      <c r="S27" t="inlineStr">
        <is>
          <t>داخلي</t>
        </is>
      </c>
      <c r="T27" t="inlineStr">
        <is>
          <t>نعم</t>
        </is>
      </c>
      <c r="U27" t="inlineStr">
        <is>
          <t>لا</t>
        </is>
      </c>
      <c r="V27" t="inlineStr">
        <is>
          <t>معتمد</t>
        </is>
      </c>
      <c r="Y27">
        <f>IF([@كود_التصنيف]="","",[@كود_التصنيف]&amp;"|"&amp;[@نوع_الحركة]&amp;"|"&amp;[@كود_معالجة_ضريبية])</f>
        <v/>
      </c>
      <c r="Z27">
        <f>IF([@مفتاح_المقابل]="",0,COUNTIF(tblContra[مفتاح_الحساب_المقابل],[@مفتاح_المقابل]))</f>
        <v/>
      </c>
      <c r="AA27">
        <f>IF([@مفتاح_المقابل]="","",IF([@عدد_تطابقات]=0,"لا تطابق في دليل المقابل",IF([@عدد_تطابقات]&gt;1,"تطابق مكرر في الدليل","")))</f>
        <v/>
      </c>
      <c r="AB27">
        <f>IF([@عدد_تطابقات]&lt;&gt;1,"",_xlfn._xlws.XLOOKUP([@مفتاح_المقابل],tblContra[مفتاح_الحساب_المقابل],tblContra[كود_تحليلي],""))</f>
        <v/>
      </c>
      <c r="AC27">
        <f>IF(AND([@خطأ_المقابل]="",[@الحساب]&lt;&gt;"",OR([@مدين]&gt;0,[@دائن]&gt;0)),"نعم","لا")</f>
        <v/>
      </c>
    </row>
    <row r="28">
      <c r="D28" t="inlineStr">
        <is>
          <t>تحويل_داخلي</t>
        </is>
      </c>
      <c r="H28" t="inlineStr">
        <is>
          <t>TRF-INT</t>
        </is>
      </c>
      <c r="I28" t="inlineStr">
        <is>
          <t>OUT_SCOPE</t>
        </is>
      </c>
      <c r="S28" t="inlineStr">
        <is>
          <t>داخلي</t>
        </is>
      </c>
      <c r="T28" t="inlineStr">
        <is>
          <t>نعم</t>
        </is>
      </c>
      <c r="U28" t="inlineStr">
        <is>
          <t>لا</t>
        </is>
      </c>
      <c r="V28" t="inlineStr">
        <is>
          <t>معتمد</t>
        </is>
      </c>
      <c r="Y28">
        <f>IF([@كود_التصنيف]="","",[@كود_التصنيف]&amp;"|"&amp;[@نوع_الحركة]&amp;"|"&amp;[@كود_معالجة_ضريبية])</f>
        <v/>
      </c>
      <c r="Z28">
        <f>IF([@مفتاح_المقابل]="",0,COUNTIF(tblContra[مفتاح_الحساب_المقابل],[@مفتاح_المقابل]))</f>
        <v/>
      </c>
      <c r="AA28">
        <f>IF([@مفتاح_المقابل]="","",IF([@عدد_تطابقات]=0,"لا تطابق في دليل المقابل",IF([@عدد_تطابقات]&gt;1,"تطابق مكرر في الدليل","")))</f>
        <v/>
      </c>
      <c r="AB28">
        <f>IF([@عدد_تطابقات]&lt;&gt;1,"",_xlfn._xlws.XLOOKUP([@مفتاح_المقابل],tblContra[مفتاح_الحساب_المقابل],tblContra[كود_تحليلي],""))</f>
        <v/>
      </c>
      <c r="AC28">
        <f>IF(AND([@خطأ_المقابل]="",[@الحساب]&lt;&gt;"",OR([@مدين]&gt;0,[@دائن]&gt;0)),"نعم","لا")</f>
        <v/>
      </c>
    </row>
    <row r="29">
      <c r="D29" t="inlineStr">
        <is>
          <t>تحويل_داخلي</t>
        </is>
      </c>
      <c r="H29" t="inlineStr">
        <is>
          <t>TRF-INT</t>
        </is>
      </c>
      <c r="I29" t="inlineStr">
        <is>
          <t>OUT_SCOPE</t>
        </is>
      </c>
      <c r="S29" t="inlineStr">
        <is>
          <t>داخلي</t>
        </is>
      </c>
      <c r="T29" t="inlineStr">
        <is>
          <t>نعم</t>
        </is>
      </c>
      <c r="U29" t="inlineStr">
        <is>
          <t>لا</t>
        </is>
      </c>
      <c r="V29" t="inlineStr">
        <is>
          <t>معتمد</t>
        </is>
      </c>
      <c r="Y29">
        <f>IF([@كود_التصنيف]="","",[@كود_التصنيف]&amp;"|"&amp;[@نوع_الحركة]&amp;"|"&amp;[@كود_معالجة_ضريبية])</f>
        <v/>
      </c>
      <c r="Z29">
        <f>IF([@مفتاح_المقابل]="",0,COUNTIF(tblContra[مفتاح_الحساب_المقابل],[@مفتاح_المقابل]))</f>
        <v/>
      </c>
      <c r="AA29">
        <f>IF([@مفتاح_المقابل]="","",IF([@عدد_تطابقات]=0,"لا تطابق في دليل المقابل",IF([@عدد_تطابقات]&gt;1,"تطابق مكرر في الدليل","")))</f>
        <v/>
      </c>
      <c r="AB29">
        <f>IF([@عدد_تطابقات]&lt;&gt;1,"",_xlfn._xlws.XLOOKUP([@مفتاح_المقابل],tblContra[مفتاح_الحساب_المقابل],tblContra[كود_تحليلي],""))</f>
        <v/>
      </c>
      <c r="AC29">
        <f>IF(AND([@خطأ_المقابل]="",[@الحساب]&lt;&gt;"",OR([@مدين]&gt;0,[@دائن]&gt;0)),"نعم","لا")</f>
        <v/>
      </c>
    </row>
    <row r="30">
      <c r="D30" t="inlineStr">
        <is>
          <t>تحويل_داخلي</t>
        </is>
      </c>
      <c r="H30" t="inlineStr">
        <is>
          <t>TRF-INT</t>
        </is>
      </c>
      <c r="I30" t="inlineStr">
        <is>
          <t>OUT_SCOPE</t>
        </is>
      </c>
      <c r="S30" t="inlineStr">
        <is>
          <t>داخلي</t>
        </is>
      </c>
      <c r="T30" t="inlineStr">
        <is>
          <t>نعم</t>
        </is>
      </c>
      <c r="U30" t="inlineStr">
        <is>
          <t>لا</t>
        </is>
      </c>
      <c r="V30" t="inlineStr">
        <is>
          <t>معتمد</t>
        </is>
      </c>
      <c r="Y30">
        <f>IF([@كود_التصنيف]="","",[@كود_التصنيف]&amp;"|"&amp;[@نوع_الحركة]&amp;"|"&amp;[@كود_معالجة_ضريبية])</f>
        <v/>
      </c>
      <c r="Z30">
        <f>IF([@مفتاح_المقابل]="",0,COUNTIF(tblContra[مفتاح_الحساب_المقابل],[@مفتاح_المقابل]))</f>
        <v/>
      </c>
      <c r="AA30">
        <f>IF([@مفتاح_المقابل]="","",IF([@عدد_تطابقات]=0,"لا تطابق في دليل المقابل",IF([@عدد_تطابقات]&gt;1,"تطابق مكرر في الدليل","")))</f>
        <v/>
      </c>
      <c r="AB30">
        <f>IF([@عدد_تطابقات]&lt;&gt;1,"",_xlfn._xlws.XLOOKUP([@مفتاح_المقابل],tblContra[مفتاح_الحساب_المقابل],tblContra[كود_تحليلي],""))</f>
        <v/>
      </c>
      <c r="AC30">
        <f>IF(AND([@خطأ_المقابل]="",[@الحساب]&lt;&gt;"",OR([@مدين]&gt;0,[@دائن]&gt;0)),"نعم","لا")</f>
        <v/>
      </c>
    </row>
    <row r="31">
      <c r="D31" t="inlineStr">
        <is>
          <t>تحويل_داخلي</t>
        </is>
      </c>
      <c r="H31" t="inlineStr">
        <is>
          <t>TRF-INT</t>
        </is>
      </c>
      <c r="I31" t="inlineStr">
        <is>
          <t>OUT_SCOPE</t>
        </is>
      </c>
      <c r="S31" t="inlineStr">
        <is>
          <t>داخلي</t>
        </is>
      </c>
      <c r="T31" t="inlineStr">
        <is>
          <t>نعم</t>
        </is>
      </c>
      <c r="U31" t="inlineStr">
        <is>
          <t>لا</t>
        </is>
      </c>
      <c r="V31" t="inlineStr">
        <is>
          <t>معتمد</t>
        </is>
      </c>
      <c r="Y31">
        <f>IF([@كود_التصنيف]="","",[@كود_التصنيف]&amp;"|"&amp;[@نوع_الحركة]&amp;"|"&amp;[@كود_معالجة_ضريبية])</f>
        <v/>
      </c>
      <c r="Z31">
        <f>IF([@مفتاح_المقابل]="",0,COUNTIF(tblContra[مفتاح_الحساب_المقابل],[@مفتاح_المقابل]))</f>
        <v/>
      </c>
      <c r="AA31">
        <f>IF([@مفتاح_المقابل]="","",IF([@عدد_تطابقات]=0,"لا تطابق في دليل المقابل",IF([@عدد_تطابقات]&gt;1,"تطابق مكرر في الدليل","")))</f>
        <v/>
      </c>
      <c r="AB31">
        <f>IF([@عدد_تطابقات]&lt;&gt;1,"",_xlfn._xlws.XLOOKUP([@مفتاح_المقابل],tblContra[مفتاح_الحساب_المقابل],tblContra[كود_تحليلي],""))</f>
        <v/>
      </c>
      <c r="AC31">
        <f>IF(AND([@خطأ_المقابل]="",[@الحساب]&lt;&gt;"",OR([@مدين]&gt;0,[@دائن]&gt;0)),"نعم","لا")</f>
        <v/>
      </c>
    </row>
    <row r="32">
      <c r="D32" t="inlineStr">
        <is>
          <t>تحويل_داخلي</t>
        </is>
      </c>
      <c r="H32" t="inlineStr">
        <is>
          <t>TRF-INT</t>
        </is>
      </c>
      <c r="I32" t="inlineStr">
        <is>
          <t>OUT_SCOPE</t>
        </is>
      </c>
      <c r="S32" t="inlineStr">
        <is>
          <t>داخلي</t>
        </is>
      </c>
      <c r="T32" t="inlineStr">
        <is>
          <t>نعم</t>
        </is>
      </c>
      <c r="U32" t="inlineStr">
        <is>
          <t>لا</t>
        </is>
      </c>
      <c r="V32" t="inlineStr">
        <is>
          <t>معتمد</t>
        </is>
      </c>
      <c r="Y32">
        <f>IF([@كود_التصنيف]="","",[@كود_التصنيف]&amp;"|"&amp;[@نوع_الحركة]&amp;"|"&amp;[@كود_معالجة_ضريبية])</f>
        <v/>
      </c>
      <c r="Z32">
        <f>IF([@مفتاح_المقابل]="",0,COUNTIF(tblContra[مفتاح_الحساب_المقابل],[@مفتاح_المقابل]))</f>
        <v/>
      </c>
      <c r="AA32">
        <f>IF([@مفتاح_المقابل]="","",IF([@عدد_تطابقات]=0,"لا تطابق في دليل المقابل",IF([@عدد_تطابقات]&gt;1,"تطابق مكرر في الدليل","")))</f>
        <v/>
      </c>
      <c r="AB32">
        <f>IF([@عدد_تطابقات]&lt;&gt;1,"",_xlfn._xlws.XLOOKUP([@مفتاح_المقابل],tblContra[مفتاح_الحساب_المقابل],tblContra[كود_تحليلي],""))</f>
        <v/>
      </c>
      <c r="AC32">
        <f>IF(AND([@خطأ_المقابل]="",[@الحساب]&lt;&gt;"",OR([@مدين]&gt;0,[@دائن]&gt;0)),"نعم","لا")</f>
        <v/>
      </c>
    </row>
    <row r="33">
      <c r="D33" t="inlineStr">
        <is>
          <t>تحويل_داخلي</t>
        </is>
      </c>
      <c r="H33" t="inlineStr">
        <is>
          <t>TRF-INT</t>
        </is>
      </c>
      <c r="I33" t="inlineStr">
        <is>
          <t>OUT_SCOPE</t>
        </is>
      </c>
      <c r="S33" t="inlineStr">
        <is>
          <t>داخلي</t>
        </is>
      </c>
      <c r="T33" t="inlineStr">
        <is>
          <t>نعم</t>
        </is>
      </c>
      <c r="U33" t="inlineStr">
        <is>
          <t>لا</t>
        </is>
      </c>
      <c r="V33" t="inlineStr">
        <is>
          <t>معتمد</t>
        </is>
      </c>
      <c r="Y33">
        <f>IF([@كود_التصنيف]="","",[@كود_التصنيف]&amp;"|"&amp;[@نوع_الحركة]&amp;"|"&amp;[@كود_معالجة_ضريبية])</f>
        <v/>
      </c>
      <c r="Z33">
        <f>IF([@مفتاح_المقابل]="",0,COUNTIF(tblContra[مفتاح_الحساب_المقابل],[@مفتاح_المقابل]))</f>
        <v/>
      </c>
      <c r="AA33">
        <f>IF([@مفتاح_المقابل]="","",IF([@عدد_تطابقات]=0,"لا تطابق في دليل المقابل",IF([@عدد_تطابقات]&gt;1,"تطابق مكرر في الدليل","")))</f>
        <v/>
      </c>
      <c r="AB33">
        <f>IF([@عدد_تطابقات]&lt;&gt;1,"",_xlfn._xlws.XLOOKUP([@مفتاح_المقابل],tblContra[مفتاح_الحساب_المقابل],tblContra[كود_تحليلي],""))</f>
        <v/>
      </c>
      <c r="AC33">
        <f>IF(AND([@خطأ_المقابل]="",[@الحساب]&lt;&gt;"",OR([@مدين]&gt;0,[@دائن]&gt;0)),"نعم","لا")</f>
        <v/>
      </c>
    </row>
    <row r="34">
      <c r="D34" t="inlineStr">
        <is>
          <t>تحويل_داخلي</t>
        </is>
      </c>
      <c r="H34" t="inlineStr">
        <is>
          <t>TRF-INT</t>
        </is>
      </c>
      <c r="I34" t="inlineStr">
        <is>
          <t>OUT_SCOPE</t>
        </is>
      </c>
      <c r="S34" t="inlineStr">
        <is>
          <t>داخلي</t>
        </is>
      </c>
      <c r="T34" t="inlineStr">
        <is>
          <t>نعم</t>
        </is>
      </c>
      <c r="U34" t="inlineStr">
        <is>
          <t>لا</t>
        </is>
      </c>
      <c r="V34" t="inlineStr">
        <is>
          <t>معتمد</t>
        </is>
      </c>
      <c r="Y34">
        <f>IF([@كود_التصنيف]="","",[@كود_التصنيف]&amp;"|"&amp;[@نوع_الحركة]&amp;"|"&amp;[@كود_معالجة_ضريبية])</f>
        <v/>
      </c>
      <c r="Z34">
        <f>IF([@مفتاح_المقابل]="",0,COUNTIF(tblContra[مفتاح_الحساب_المقابل],[@مفتاح_المقابل]))</f>
        <v/>
      </c>
      <c r="AA34">
        <f>IF([@مفتاح_المقابل]="","",IF([@عدد_تطابقات]=0,"لا تطابق في دليل المقابل",IF([@عدد_تطابقات]&gt;1,"تطابق مكرر في الدليل","")))</f>
        <v/>
      </c>
      <c r="AB34">
        <f>IF([@عدد_تطابقات]&lt;&gt;1,"",_xlfn._xlws.XLOOKUP([@مفتاح_المقابل],tblContra[مفتاح_الحساب_المقابل],tblContra[كود_تحليلي],""))</f>
        <v/>
      </c>
      <c r="AC34">
        <f>IF(AND([@خطأ_المقابل]="",[@الحساب]&lt;&gt;"",OR([@مدين]&gt;0,[@دائن]&gt;0)),"نعم","لا")</f>
        <v/>
      </c>
    </row>
    <row r="35">
      <c r="D35" t="inlineStr">
        <is>
          <t>تحويل_داخلي</t>
        </is>
      </c>
      <c r="H35" t="inlineStr">
        <is>
          <t>TRF-INT</t>
        </is>
      </c>
      <c r="I35" t="inlineStr">
        <is>
          <t>OUT_SCOPE</t>
        </is>
      </c>
      <c r="S35" t="inlineStr">
        <is>
          <t>داخلي</t>
        </is>
      </c>
      <c r="T35" t="inlineStr">
        <is>
          <t>نعم</t>
        </is>
      </c>
      <c r="U35" t="inlineStr">
        <is>
          <t>لا</t>
        </is>
      </c>
      <c r="V35" t="inlineStr">
        <is>
          <t>معتمد</t>
        </is>
      </c>
      <c r="Y35">
        <f>IF([@كود_التصنيف]="","",[@كود_التصنيف]&amp;"|"&amp;[@نوع_الحركة]&amp;"|"&amp;[@كود_معالجة_ضريبية])</f>
        <v/>
      </c>
      <c r="Z35">
        <f>IF([@مفتاح_المقابل]="",0,COUNTIF(tblContra[مفتاح_الحساب_المقابل],[@مفتاح_المقابل]))</f>
        <v/>
      </c>
      <c r="AA35">
        <f>IF([@مفتاح_المقابل]="","",IF([@عدد_تطابقات]=0,"لا تطابق في دليل المقابل",IF([@عدد_تطابقات]&gt;1,"تطابق مكرر في الدليل","")))</f>
        <v/>
      </c>
      <c r="AB35">
        <f>IF([@عدد_تطابقات]&lt;&gt;1,"",_xlfn._xlws.XLOOKUP([@مفتاح_المقابل],tblContra[مفتاح_الحساب_المقابل],tblContra[كود_تحليلي],""))</f>
        <v/>
      </c>
      <c r="AC35">
        <f>IF(AND([@خطأ_المقابل]="",[@الحساب]&lt;&gt;"",OR([@مدين]&gt;0,[@دائن]&gt;0)),"نعم","لا")</f>
        <v/>
      </c>
    </row>
    <row r="36">
      <c r="D36" t="inlineStr">
        <is>
          <t>تحويل_داخلي</t>
        </is>
      </c>
      <c r="H36" t="inlineStr">
        <is>
          <t>TRF-INT</t>
        </is>
      </c>
      <c r="I36" t="inlineStr">
        <is>
          <t>OUT_SCOPE</t>
        </is>
      </c>
      <c r="S36" t="inlineStr">
        <is>
          <t>داخلي</t>
        </is>
      </c>
      <c r="T36" t="inlineStr">
        <is>
          <t>نعم</t>
        </is>
      </c>
      <c r="U36" t="inlineStr">
        <is>
          <t>لا</t>
        </is>
      </c>
      <c r="V36" t="inlineStr">
        <is>
          <t>معتمد</t>
        </is>
      </c>
      <c r="Y36">
        <f>IF([@كود_التصنيف]="","",[@كود_التصنيف]&amp;"|"&amp;[@نوع_الحركة]&amp;"|"&amp;[@كود_معالجة_ضريبية])</f>
        <v/>
      </c>
      <c r="Z36">
        <f>IF([@مفتاح_المقابل]="",0,COUNTIF(tblContra[مفتاح_الحساب_المقابل],[@مفتاح_المقابل]))</f>
        <v/>
      </c>
      <c r="AA36">
        <f>IF([@مفتاح_المقابل]="","",IF([@عدد_تطابقات]=0,"لا تطابق في دليل المقابل",IF([@عدد_تطابقات]&gt;1,"تطابق مكرر في الدليل","")))</f>
        <v/>
      </c>
      <c r="AB36">
        <f>IF([@عدد_تطابقات]&lt;&gt;1,"",_xlfn._xlws.XLOOKUP([@مفتاح_المقابل],tblContra[مفتاح_الحساب_المقابل],tblContra[كود_تحليلي],""))</f>
        <v/>
      </c>
      <c r="AC36">
        <f>IF(AND([@خطأ_المقابل]="",[@الحساب]&lt;&gt;"",OR([@مدين]&gt;0,[@دائن]&gt;0)),"نعم","لا")</f>
        <v/>
      </c>
    </row>
    <row r="37">
      <c r="D37" t="inlineStr">
        <is>
          <t>تحويل_داخلي</t>
        </is>
      </c>
      <c r="H37" t="inlineStr">
        <is>
          <t>TRF-INT</t>
        </is>
      </c>
      <c r="I37" t="inlineStr">
        <is>
          <t>OUT_SCOPE</t>
        </is>
      </c>
      <c r="S37" t="inlineStr">
        <is>
          <t>داخلي</t>
        </is>
      </c>
      <c r="T37" t="inlineStr">
        <is>
          <t>نعم</t>
        </is>
      </c>
      <c r="U37" t="inlineStr">
        <is>
          <t>لا</t>
        </is>
      </c>
      <c r="V37" t="inlineStr">
        <is>
          <t>معتمد</t>
        </is>
      </c>
      <c r="Y37">
        <f>IF([@كود_التصنيف]="","",[@كود_التصنيف]&amp;"|"&amp;[@نوع_الحركة]&amp;"|"&amp;[@كود_معالجة_ضريبية])</f>
        <v/>
      </c>
      <c r="Z37">
        <f>IF([@مفتاح_المقابل]="",0,COUNTIF(tblContra[مفتاح_الحساب_المقابل],[@مفتاح_المقابل]))</f>
        <v/>
      </c>
      <c r="AA37">
        <f>IF([@مفتاح_المقابل]="","",IF([@عدد_تطابقات]=0,"لا تطابق في دليل المقابل",IF([@عدد_تطابقات]&gt;1,"تطابق مكرر في الدليل","")))</f>
        <v/>
      </c>
      <c r="AB37">
        <f>IF([@عدد_تطابقات]&lt;&gt;1,"",_xlfn._xlws.XLOOKUP([@مفتاح_المقابل],tblContra[مفتاح_الحساب_المقابل],tblContra[كود_تحليلي],""))</f>
        <v/>
      </c>
      <c r="AC37">
        <f>IF(AND([@خطأ_المقابل]="",[@الحساب]&lt;&gt;"",OR([@مدين]&gt;0,[@دائن]&gt;0)),"نعم","لا")</f>
        <v/>
      </c>
    </row>
    <row r="38">
      <c r="D38" t="inlineStr">
        <is>
          <t>تحويل_داخلي</t>
        </is>
      </c>
      <c r="H38" t="inlineStr">
        <is>
          <t>TRF-INT</t>
        </is>
      </c>
      <c r="I38" t="inlineStr">
        <is>
          <t>OUT_SCOPE</t>
        </is>
      </c>
      <c r="S38" t="inlineStr">
        <is>
          <t>داخلي</t>
        </is>
      </c>
      <c r="T38" t="inlineStr">
        <is>
          <t>نعم</t>
        </is>
      </c>
      <c r="U38" t="inlineStr">
        <is>
          <t>لا</t>
        </is>
      </c>
      <c r="V38" t="inlineStr">
        <is>
          <t>معتمد</t>
        </is>
      </c>
      <c r="Y38">
        <f>IF([@كود_التصنيف]="","",[@كود_التصنيف]&amp;"|"&amp;[@نوع_الحركة]&amp;"|"&amp;[@كود_معالجة_ضريبية])</f>
        <v/>
      </c>
      <c r="Z38">
        <f>IF([@مفتاح_المقابل]="",0,COUNTIF(tblContra[مفتاح_الحساب_المقابل],[@مفتاح_المقابل]))</f>
        <v/>
      </c>
      <c r="AA38">
        <f>IF([@مفتاح_المقابل]="","",IF([@عدد_تطابقات]=0,"لا تطابق في دليل المقابل",IF([@عدد_تطابقات]&gt;1,"تطابق مكرر في الدليل","")))</f>
        <v/>
      </c>
      <c r="AB38">
        <f>IF([@عدد_تطابقات]&lt;&gt;1,"",_xlfn._xlws.XLOOKUP([@مفتاح_المقابل],tblContra[مفتاح_الحساب_المقابل],tblContra[كود_تحليلي],""))</f>
        <v/>
      </c>
      <c r="AC38">
        <f>IF(AND([@خطأ_المقابل]="",[@الحساب]&lt;&gt;"",OR([@مدين]&gt;0,[@دائن]&gt;0)),"نعم","لا")</f>
        <v/>
      </c>
    </row>
    <row r="39">
      <c r="D39" t="inlineStr">
        <is>
          <t>تحويل_داخلي</t>
        </is>
      </c>
      <c r="H39" t="inlineStr">
        <is>
          <t>TRF-INT</t>
        </is>
      </c>
      <c r="I39" t="inlineStr">
        <is>
          <t>OUT_SCOPE</t>
        </is>
      </c>
      <c r="S39" t="inlineStr">
        <is>
          <t>داخلي</t>
        </is>
      </c>
      <c r="T39" t="inlineStr">
        <is>
          <t>نعم</t>
        </is>
      </c>
      <c r="U39" t="inlineStr">
        <is>
          <t>لا</t>
        </is>
      </c>
      <c r="V39" t="inlineStr">
        <is>
          <t>معتمد</t>
        </is>
      </c>
      <c r="Y39">
        <f>IF([@كود_التصنيف]="","",[@كود_التصنيف]&amp;"|"&amp;[@نوع_الحركة]&amp;"|"&amp;[@كود_معالجة_ضريبية])</f>
        <v/>
      </c>
      <c r="Z39">
        <f>IF([@مفتاح_المقابل]="",0,COUNTIF(tblContra[مفتاح_الحساب_المقابل],[@مفتاح_المقابل]))</f>
        <v/>
      </c>
      <c r="AA39">
        <f>IF([@مفتاح_المقابل]="","",IF([@عدد_تطابقات]=0,"لا تطابق في دليل المقابل",IF([@عدد_تطابقات]&gt;1,"تطابق مكرر في الدليل","")))</f>
        <v/>
      </c>
      <c r="AB39">
        <f>IF([@عدد_تطابقات]&lt;&gt;1,"",_xlfn._xlws.XLOOKUP([@مفتاح_المقابل],tblContra[مفتاح_الحساب_المقابل],tblContra[كود_تحليلي],""))</f>
        <v/>
      </c>
      <c r="AC39">
        <f>IF(AND([@خطأ_المقابل]="",[@الحساب]&lt;&gt;"",OR([@مدين]&gt;0,[@دائن]&gt;0)),"نعم","لا")</f>
        <v/>
      </c>
    </row>
    <row r="40">
      <c r="D40" t="inlineStr">
        <is>
          <t>تحويل_داخلي</t>
        </is>
      </c>
      <c r="H40" t="inlineStr">
        <is>
          <t>TRF-INT</t>
        </is>
      </c>
      <c r="I40" t="inlineStr">
        <is>
          <t>OUT_SCOPE</t>
        </is>
      </c>
      <c r="S40" t="inlineStr">
        <is>
          <t>داخلي</t>
        </is>
      </c>
      <c r="T40" t="inlineStr">
        <is>
          <t>نعم</t>
        </is>
      </c>
      <c r="U40" t="inlineStr">
        <is>
          <t>لا</t>
        </is>
      </c>
      <c r="V40" t="inlineStr">
        <is>
          <t>معتمد</t>
        </is>
      </c>
      <c r="Y40">
        <f>IF([@كود_التصنيف]="","",[@كود_التصنيف]&amp;"|"&amp;[@نوع_الحركة]&amp;"|"&amp;[@كود_معالجة_ضريبية])</f>
        <v/>
      </c>
      <c r="Z40">
        <f>IF([@مفتاح_المقابل]="",0,COUNTIF(tblContra[مفتاح_الحساب_المقابل],[@مفتاح_المقابل]))</f>
        <v/>
      </c>
      <c r="AA40">
        <f>IF([@مفتاح_المقابل]="","",IF([@عدد_تطابقات]=0,"لا تطابق في دليل المقابل",IF([@عدد_تطابقات]&gt;1,"تطابق مكرر في الدليل","")))</f>
        <v/>
      </c>
      <c r="AB40">
        <f>IF([@عدد_تطابقات]&lt;&gt;1,"",_xlfn._xlws.XLOOKUP([@مفتاح_المقابل],tblContra[مفتاح_الحساب_المقابل],tblContra[كود_تحليلي],""))</f>
        <v/>
      </c>
      <c r="AC40">
        <f>IF(AND([@خطأ_المقابل]="",[@الحساب]&lt;&gt;"",OR([@مدين]&gt;0,[@دائن]&gt;0)),"نعم","لا")</f>
        <v/>
      </c>
    </row>
    <row r="41">
      <c r="D41" t="inlineStr">
        <is>
          <t>تحويل_داخلي</t>
        </is>
      </c>
      <c r="H41" t="inlineStr">
        <is>
          <t>TRF-INT</t>
        </is>
      </c>
      <c r="I41" t="inlineStr">
        <is>
          <t>OUT_SCOPE</t>
        </is>
      </c>
      <c r="S41" t="inlineStr">
        <is>
          <t>داخلي</t>
        </is>
      </c>
      <c r="T41" t="inlineStr">
        <is>
          <t>نعم</t>
        </is>
      </c>
      <c r="U41" t="inlineStr">
        <is>
          <t>لا</t>
        </is>
      </c>
      <c r="V41" t="inlineStr">
        <is>
          <t>معتمد</t>
        </is>
      </c>
      <c r="Y41">
        <f>IF([@كود_التصنيف]="","",[@كود_التصنيف]&amp;"|"&amp;[@نوع_الحركة]&amp;"|"&amp;[@كود_معالجة_ضريبية])</f>
        <v/>
      </c>
      <c r="Z41">
        <f>IF([@مفتاح_المقابل]="",0,COUNTIF(tblContra[مفتاح_الحساب_المقابل],[@مفتاح_المقابل]))</f>
        <v/>
      </c>
      <c r="AA41">
        <f>IF([@مفتاح_المقابل]="","",IF([@عدد_تطابقات]=0,"لا تطابق في دليل المقابل",IF([@عدد_تطابقات]&gt;1,"تطابق مكرر في الدليل","")))</f>
        <v/>
      </c>
      <c r="AB41">
        <f>IF([@عدد_تطابقات]&lt;&gt;1,"",_xlfn._xlws.XLOOKUP([@مفتاح_المقابل],tblContra[مفتاح_الحساب_المقابل],tblContra[كود_تحليلي],""))</f>
        <v/>
      </c>
      <c r="AC41">
        <f>IF(AND([@خطأ_المقابل]="",[@الحساب]&lt;&gt;"",OR([@مدين]&gt;0,[@دائن]&gt;0)),"نعم","لا")</f>
        <v/>
      </c>
    </row>
    <row r="42">
      <c r="D42" t="inlineStr">
        <is>
          <t>تحويل_داخلي</t>
        </is>
      </c>
      <c r="H42" t="inlineStr">
        <is>
          <t>TRF-INT</t>
        </is>
      </c>
      <c r="I42" t="inlineStr">
        <is>
          <t>OUT_SCOPE</t>
        </is>
      </c>
      <c r="S42" t="inlineStr">
        <is>
          <t>داخلي</t>
        </is>
      </c>
      <c r="T42" t="inlineStr">
        <is>
          <t>نعم</t>
        </is>
      </c>
      <c r="U42" t="inlineStr">
        <is>
          <t>لا</t>
        </is>
      </c>
      <c r="V42" t="inlineStr">
        <is>
          <t>معتمد</t>
        </is>
      </c>
      <c r="Y42">
        <f>IF([@كود_التصنيف]="","",[@كود_التصنيف]&amp;"|"&amp;[@نوع_الحركة]&amp;"|"&amp;[@كود_معالجة_ضريبية])</f>
        <v/>
      </c>
      <c r="Z42">
        <f>IF([@مفتاح_المقابل]="",0,COUNTIF(tblContra[مفتاح_الحساب_المقابل],[@مفتاح_المقابل]))</f>
        <v/>
      </c>
      <c r="AA42">
        <f>IF([@مفتاح_المقابل]="","",IF([@عدد_تطابقات]=0,"لا تطابق في دليل المقابل",IF([@عدد_تطابقات]&gt;1,"تطابق مكرر في الدليل","")))</f>
        <v/>
      </c>
      <c r="AB42">
        <f>IF([@عدد_تطابقات]&lt;&gt;1,"",_xlfn._xlws.XLOOKUP([@مفتاح_المقابل],tblContra[مفتاح_الحساب_المقابل],tblContra[كود_تحليلي],""))</f>
        <v/>
      </c>
      <c r="AC42">
        <f>IF(AND([@خطأ_المقابل]="",[@الحساب]&lt;&gt;"",OR([@مدين]&gt;0,[@دائن]&gt;0)),"نعم","لا")</f>
        <v/>
      </c>
    </row>
    <row r="43">
      <c r="D43" t="inlineStr">
        <is>
          <t>تحويل_داخلي</t>
        </is>
      </c>
      <c r="H43" t="inlineStr">
        <is>
          <t>TRF-INT</t>
        </is>
      </c>
      <c r="I43" t="inlineStr">
        <is>
          <t>OUT_SCOPE</t>
        </is>
      </c>
      <c r="S43" t="inlineStr">
        <is>
          <t>داخلي</t>
        </is>
      </c>
      <c r="T43" t="inlineStr">
        <is>
          <t>نعم</t>
        </is>
      </c>
      <c r="U43" t="inlineStr">
        <is>
          <t>لا</t>
        </is>
      </c>
      <c r="V43" t="inlineStr">
        <is>
          <t>معتمد</t>
        </is>
      </c>
      <c r="Y43">
        <f>IF([@كود_التصنيف]="","",[@كود_التصنيف]&amp;"|"&amp;[@نوع_الحركة]&amp;"|"&amp;[@كود_معالجة_ضريبية])</f>
        <v/>
      </c>
      <c r="Z43">
        <f>IF([@مفتاح_المقابل]="",0,COUNTIF(tblContra[مفتاح_الحساب_المقابل],[@مفتاح_المقابل]))</f>
        <v/>
      </c>
      <c r="AA43">
        <f>IF([@مفتاح_المقابل]="","",IF([@عدد_تطابقات]=0,"لا تطابق في دليل المقابل",IF([@عدد_تطابقات]&gt;1,"تطابق مكرر في الدليل","")))</f>
        <v/>
      </c>
      <c r="AB43">
        <f>IF([@عدد_تطابقات]&lt;&gt;1,"",_xlfn._xlws.XLOOKUP([@مفتاح_المقابل],tblContra[مفتاح_الحساب_المقابل],tblContra[كود_تحليلي],""))</f>
        <v/>
      </c>
      <c r="AC43">
        <f>IF(AND([@خطأ_المقابل]="",[@الحساب]&lt;&gt;"",OR([@مدين]&gt;0,[@دائن]&gt;0)),"نعم","لا")</f>
        <v/>
      </c>
    </row>
    <row r="44">
      <c r="D44" t="inlineStr">
        <is>
          <t>تحويل_داخلي</t>
        </is>
      </c>
      <c r="H44" t="inlineStr">
        <is>
          <t>TRF-INT</t>
        </is>
      </c>
      <c r="I44" t="inlineStr">
        <is>
          <t>OUT_SCOPE</t>
        </is>
      </c>
      <c r="S44" t="inlineStr">
        <is>
          <t>داخلي</t>
        </is>
      </c>
      <c r="T44" t="inlineStr">
        <is>
          <t>نعم</t>
        </is>
      </c>
      <c r="U44" t="inlineStr">
        <is>
          <t>لا</t>
        </is>
      </c>
      <c r="V44" t="inlineStr">
        <is>
          <t>معتمد</t>
        </is>
      </c>
      <c r="Y44">
        <f>IF([@كود_التصنيف]="","",[@كود_التصنيف]&amp;"|"&amp;[@نوع_الحركة]&amp;"|"&amp;[@كود_معالجة_ضريبية])</f>
        <v/>
      </c>
      <c r="Z44">
        <f>IF([@مفتاح_المقابل]="",0,COUNTIF(tblContra[مفتاح_الحساب_المقابل],[@مفتاح_المقابل]))</f>
        <v/>
      </c>
      <c r="AA44">
        <f>IF([@مفتاح_المقابل]="","",IF([@عدد_تطابقات]=0,"لا تطابق في دليل المقابل",IF([@عدد_تطابقات]&gt;1,"تطابق مكرر في الدليل","")))</f>
        <v/>
      </c>
      <c r="AB44">
        <f>IF([@عدد_تطابقات]&lt;&gt;1,"",_xlfn._xlws.XLOOKUP([@مفتاح_المقابل],tblContra[مفتاح_الحساب_المقابل],tblContra[كود_تحليلي],""))</f>
        <v/>
      </c>
      <c r="AC44">
        <f>IF(AND([@خطأ_المقابل]="",[@الحساب]&lt;&gt;"",OR([@مدين]&gt;0,[@دائن]&gt;0)),"نعم","لا")</f>
        <v/>
      </c>
    </row>
    <row r="45">
      <c r="D45" t="inlineStr">
        <is>
          <t>تحويل_داخلي</t>
        </is>
      </c>
      <c r="H45" t="inlineStr">
        <is>
          <t>TRF-INT</t>
        </is>
      </c>
      <c r="I45" t="inlineStr">
        <is>
          <t>OUT_SCOPE</t>
        </is>
      </c>
      <c r="S45" t="inlineStr">
        <is>
          <t>داخلي</t>
        </is>
      </c>
      <c r="T45" t="inlineStr">
        <is>
          <t>نعم</t>
        </is>
      </c>
      <c r="U45" t="inlineStr">
        <is>
          <t>لا</t>
        </is>
      </c>
      <c r="V45" t="inlineStr">
        <is>
          <t>معتمد</t>
        </is>
      </c>
      <c r="Y45">
        <f>IF([@كود_التصنيف]="","",[@كود_التصنيف]&amp;"|"&amp;[@نوع_الحركة]&amp;"|"&amp;[@كود_معالجة_ضريبية])</f>
        <v/>
      </c>
      <c r="Z45">
        <f>IF([@مفتاح_المقابل]="",0,COUNTIF(tblContra[مفتاح_الحساب_المقابل],[@مفتاح_المقابل]))</f>
        <v/>
      </c>
      <c r="AA45">
        <f>IF([@مفتاح_المقابل]="","",IF([@عدد_تطابقات]=0,"لا تطابق في دليل المقابل",IF([@عدد_تطابقات]&gt;1,"تطابق مكرر في الدليل","")))</f>
        <v/>
      </c>
      <c r="AB45">
        <f>IF([@عدد_تطابقات]&lt;&gt;1,"",_xlfn._xlws.XLOOKUP([@مفتاح_المقابل],tblContra[مفتاح_الحساب_المقابل],tblContra[كود_تحليلي],""))</f>
        <v/>
      </c>
      <c r="AC45">
        <f>IF(AND([@خطأ_المقابل]="",[@الحساب]&lt;&gt;"",OR([@مدين]&gt;0,[@دائن]&gt;0)),"نعم","لا")</f>
        <v/>
      </c>
    </row>
    <row r="46">
      <c r="D46" t="inlineStr">
        <is>
          <t>تحويل_داخلي</t>
        </is>
      </c>
      <c r="H46" t="inlineStr">
        <is>
          <t>TRF-INT</t>
        </is>
      </c>
      <c r="I46" t="inlineStr">
        <is>
          <t>OUT_SCOPE</t>
        </is>
      </c>
      <c r="S46" t="inlineStr">
        <is>
          <t>داخلي</t>
        </is>
      </c>
      <c r="T46" t="inlineStr">
        <is>
          <t>نعم</t>
        </is>
      </c>
      <c r="U46" t="inlineStr">
        <is>
          <t>لا</t>
        </is>
      </c>
      <c r="V46" t="inlineStr">
        <is>
          <t>معتمد</t>
        </is>
      </c>
      <c r="Y46">
        <f>IF([@كود_التصنيف]="","",[@كود_التصنيف]&amp;"|"&amp;[@نوع_الحركة]&amp;"|"&amp;[@كود_معالجة_ضريبية])</f>
        <v/>
      </c>
      <c r="Z46">
        <f>IF([@مفتاح_المقابل]="",0,COUNTIF(tblContra[مفتاح_الحساب_المقابل],[@مفتاح_المقابل]))</f>
        <v/>
      </c>
      <c r="AA46">
        <f>IF([@مفتاح_المقابل]="","",IF([@عدد_تطابقات]=0,"لا تطابق في دليل المقابل",IF([@عدد_تطابقات]&gt;1,"تطابق مكرر في الدليل","")))</f>
        <v/>
      </c>
      <c r="AB46">
        <f>IF([@عدد_تطابقات]&lt;&gt;1,"",_xlfn._xlws.XLOOKUP([@مفتاح_المقابل],tblContra[مفتاح_الحساب_المقابل],tblContra[كود_تحليلي],""))</f>
        <v/>
      </c>
      <c r="AC46">
        <f>IF(AND([@خطأ_المقابل]="",[@الحساب]&lt;&gt;"",OR([@مدين]&gt;0,[@دائن]&gt;0)),"نعم","لا")</f>
        <v/>
      </c>
    </row>
    <row r="47">
      <c r="D47" t="inlineStr">
        <is>
          <t>تحويل_داخلي</t>
        </is>
      </c>
      <c r="H47" t="inlineStr">
        <is>
          <t>TRF-INT</t>
        </is>
      </c>
      <c r="I47" t="inlineStr">
        <is>
          <t>OUT_SCOPE</t>
        </is>
      </c>
      <c r="S47" t="inlineStr">
        <is>
          <t>داخلي</t>
        </is>
      </c>
      <c r="T47" t="inlineStr">
        <is>
          <t>نعم</t>
        </is>
      </c>
      <c r="U47" t="inlineStr">
        <is>
          <t>لا</t>
        </is>
      </c>
      <c r="V47" t="inlineStr">
        <is>
          <t>معتمد</t>
        </is>
      </c>
      <c r="Y47">
        <f>IF([@كود_التصنيف]="","",[@كود_التصنيف]&amp;"|"&amp;[@نوع_الحركة]&amp;"|"&amp;[@كود_معالجة_ضريبية])</f>
        <v/>
      </c>
      <c r="Z47">
        <f>IF([@مفتاح_المقابل]="",0,COUNTIF(tblContra[مفتاح_الحساب_المقابل],[@مفتاح_المقابل]))</f>
        <v/>
      </c>
      <c r="AA47">
        <f>IF([@مفتاح_المقابل]="","",IF([@عدد_تطابقات]=0,"لا تطابق في دليل المقابل",IF([@عدد_تطابقات]&gt;1,"تطابق مكرر في الدليل","")))</f>
        <v/>
      </c>
      <c r="AB47">
        <f>IF([@عدد_تطابقات]&lt;&gt;1,"",_xlfn._xlws.XLOOKUP([@مفتاح_المقابل],tblContra[مفتاح_الحساب_المقابل],tblContra[كود_تحليلي],""))</f>
        <v/>
      </c>
      <c r="AC47">
        <f>IF(AND([@خطأ_المقابل]="",[@الحساب]&lt;&gt;"",OR([@مدين]&gt;0,[@دائن]&gt;0)),"نعم","لا")</f>
        <v/>
      </c>
    </row>
    <row r="48">
      <c r="D48" t="inlineStr">
        <is>
          <t>تحويل_داخلي</t>
        </is>
      </c>
      <c r="H48" t="inlineStr">
        <is>
          <t>TRF-INT</t>
        </is>
      </c>
      <c r="I48" t="inlineStr">
        <is>
          <t>OUT_SCOPE</t>
        </is>
      </c>
      <c r="S48" t="inlineStr">
        <is>
          <t>داخلي</t>
        </is>
      </c>
      <c r="T48" t="inlineStr">
        <is>
          <t>نعم</t>
        </is>
      </c>
      <c r="U48" t="inlineStr">
        <is>
          <t>لا</t>
        </is>
      </c>
      <c r="V48" t="inlineStr">
        <is>
          <t>معتمد</t>
        </is>
      </c>
      <c r="Y48">
        <f>IF([@كود_التصنيف]="","",[@كود_التصنيف]&amp;"|"&amp;[@نوع_الحركة]&amp;"|"&amp;[@كود_معالجة_ضريبية])</f>
        <v/>
      </c>
      <c r="Z48">
        <f>IF([@مفتاح_المقابل]="",0,COUNTIF(tblContra[مفتاح_الحساب_المقابل],[@مفتاح_المقابل]))</f>
        <v/>
      </c>
      <c r="AA48">
        <f>IF([@مفتاح_المقابل]="","",IF([@عدد_تطابقات]=0,"لا تطابق في دليل المقابل",IF([@عدد_تطابقات]&gt;1,"تطابق مكرر في الدليل","")))</f>
        <v/>
      </c>
      <c r="AB48">
        <f>IF([@عدد_تطابقات]&lt;&gt;1,"",_xlfn._xlws.XLOOKUP([@مفتاح_المقابل],tblContra[مفتاح_الحساب_المقابل],tblContra[كود_تحليلي],""))</f>
        <v/>
      </c>
      <c r="AC48">
        <f>IF(AND([@خطأ_المقابل]="",[@الحساب]&lt;&gt;"",OR([@مدين]&gt;0,[@دائن]&gt;0)),"نعم","لا")</f>
        <v/>
      </c>
    </row>
    <row r="49">
      <c r="D49" t="inlineStr">
        <is>
          <t>تحويل_داخلي</t>
        </is>
      </c>
      <c r="H49" t="inlineStr">
        <is>
          <t>TRF-INT</t>
        </is>
      </c>
      <c r="I49" t="inlineStr">
        <is>
          <t>OUT_SCOPE</t>
        </is>
      </c>
      <c r="S49" t="inlineStr">
        <is>
          <t>داخلي</t>
        </is>
      </c>
      <c r="T49" t="inlineStr">
        <is>
          <t>نعم</t>
        </is>
      </c>
      <c r="U49" t="inlineStr">
        <is>
          <t>لا</t>
        </is>
      </c>
      <c r="V49" t="inlineStr">
        <is>
          <t>معتمد</t>
        </is>
      </c>
      <c r="Y49">
        <f>IF([@كود_التصنيف]="","",[@كود_التصنيف]&amp;"|"&amp;[@نوع_الحركة]&amp;"|"&amp;[@كود_معالجة_ضريبية])</f>
        <v/>
      </c>
      <c r="Z49">
        <f>IF([@مفتاح_المقابل]="",0,COUNTIF(tblContra[مفتاح_الحساب_المقابل],[@مفتاح_المقابل]))</f>
        <v/>
      </c>
      <c r="AA49">
        <f>IF([@مفتاح_المقابل]="","",IF([@عدد_تطابقات]=0,"لا تطابق في دليل المقابل",IF([@عدد_تطابقات]&gt;1,"تطابق مكرر في الدليل","")))</f>
        <v/>
      </c>
      <c r="AB49">
        <f>IF([@عدد_تطابقات]&lt;&gt;1,"",_xlfn._xlws.XLOOKUP([@مفتاح_المقابل],tblContra[مفتاح_الحساب_المقابل],tblContra[كود_تحليلي],""))</f>
        <v/>
      </c>
      <c r="AC49">
        <f>IF(AND([@خطأ_المقابل]="",[@الحساب]&lt;&gt;"",OR([@مدين]&gt;0,[@دائن]&gt;0)),"نعم","لا")</f>
        <v/>
      </c>
    </row>
    <row r="50">
      <c r="D50" t="inlineStr">
        <is>
          <t>تحويل_داخلي</t>
        </is>
      </c>
      <c r="H50" t="inlineStr">
        <is>
          <t>TRF-INT</t>
        </is>
      </c>
      <c r="I50" t="inlineStr">
        <is>
          <t>OUT_SCOPE</t>
        </is>
      </c>
      <c r="S50" t="inlineStr">
        <is>
          <t>داخلي</t>
        </is>
      </c>
      <c r="T50" t="inlineStr">
        <is>
          <t>نعم</t>
        </is>
      </c>
      <c r="U50" t="inlineStr">
        <is>
          <t>لا</t>
        </is>
      </c>
      <c r="V50" t="inlineStr">
        <is>
          <t>معتمد</t>
        </is>
      </c>
      <c r="Y50">
        <f>IF([@كود_التصنيف]="","",[@كود_التصنيف]&amp;"|"&amp;[@نوع_الحركة]&amp;"|"&amp;[@كود_معالجة_ضريبية])</f>
        <v/>
      </c>
      <c r="Z50">
        <f>IF([@مفتاح_المقابل]="",0,COUNTIF(tblContra[مفتاح_الحساب_المقابل],[@مفتاح_المقابل]))</f>
        <v/>
      </c>
      <c r="AA50">
        <f>IF([@مفتاح_المقابل]="","",IF([@عدد_تطابقات]=0,"لا تطابق في دليل المقابل",IF([@عدد_تطابقات]&gt;1,"تطابق مكرر في الدليل","")))</f>
        <v/>
      </c>
      <c r="AB50">
        <f>IF([@عدد_تطابقات]&lt;&gt;1,"",_xlfn._xlws.XLOOKUP([@مفتاح_المقابل],tblContra[مفتاح_الحساب_المقابل],tblContra[كود_تحليلي],""))</f>
        <v/>
      </c>
      <c r="AC50">
        <f>IF(AND([@خطأ_المقابل]="",[@الحساب]&lt;&gt;"",OR([@مدين]&gt;0,[@دائن]&gt;0)),"نعم","لا")</f>
        <v/>
      </c>
    </row>
    <row r="51">
      <c r="D51" t="inlineStr">
        <is>
          <t>تحويل_داخلي</t>
        </is>
      </c>
      <c r="H51" t="inlineStr">
        <is>
          <t>TRF-INT</t>
        </is>
      </c>
      <c r="I51" t="inlineStr">
        <is>
          <t>OUT_SCOPE</t>
        </is>
      </c>
      <c r="S51" t="inlineStr">
        <is>
          <t>داخلي</t>
        </is>
      </c>
      <c r="T51" t="inlineStr">
        <is>
          <t>نعم</t>
        </is>
      </c>
      <c r="U51" t="inlineStr">
        <is>
          <t>لا</t>
        </is>
      </c>
      <c r="V51" t="inlineStr">
        <is>
          <t>معتمد</t>
        </is>
      </c>
      <c r="Y51">
        <f>IF([@كود_التصنيف]="","",[@كود_التصنيف]&amp;"|"&amp;[@نوع_الحركة]&amp;"|"&amp;[@كود_معالجة_ضريبية])</f>
        <v/>
      </c>
      <c r="Z51">
        <f>IF([@مفتاح_المقابل]="",0,COUNTIF(tblContra[مفتاح_الحساب_المقابل],[@مفتاح_المقابل]))</f>
        <v/>
      </c>
      <c r="AA51">
        <f>IF([@مفتاح_المقابل]="","",IF([@عدد_تطابقات]=0,"لا تطابق في دليل المقابل",IF([@عدد_تطابقات]&gt;1,"تطابق مكرر في الدليل","")))</f>
        <v/>
      </c>
      <c r="AB51">
        <f>IF([@عدد_تطابقات]&lt;&gt;1,"",_xlfn._xlws.XLOOKUP([@مفتاح_المقابل],tblContra[مفتاح_الحساب_المقابل],tblContra[كود_تحليلي],""))</f>
        <v/>
      </c>
      <c r="AC51">
        <f>IF(AND([@خطأ_المقابل]="",[@الحساب]&lt;&gt;"",OR([@مدين]&gt;0,[@دائن]&gt;0)),"نعم","لا")</f>
        <v/>
      </c>
    </row>
    <row r="52">
      <c r="D52" t="inlineStr">
        <is>
          <t>تحويل_داخلي</t>
        </is>
      </c>
      <c r="H52" t="inlineStr">
        <is>
          <t>TRF-INT</t>
        </is>
      </c>
      <c r="I52" t="inlineStr">
        <is>
          <t>OUT_SCOPE</t>
        </is>
      </c>
      <c r="S52" t="inlineStr">
        <is>
          <t>داخلي</t>
        </is>
      </c>
      <c r="T52" t="inlineStr">
        <is>
          <t>نعم</t>
        </is>
      </c>
      <c r="U52" t="inlineStr">
        <is>
          <t>لا</t>
        </is>
      </c>
      <c r="V52" t="inlineStr">
        <is>
          <t>معتمد</t>
        </is>
      </c>
      <c r="Y52">
        <f>IF([@كود_التصنيف]="","",[@كود_التصنيف]&amp;"|"&amp;[@نوع_الحركة]&amp;"|"&amp;[@كود_معالجة_ضريبية])</f>
        <v/>
      </c>
      <c r="Z52">
        <f>IF([@مفتاح_المقابل]="",0,COUNTIF(tblContra[مفتاح_الحساب_المقابل],[@مفتاح_المقابل]))</f>
        <v/>
      </c>
      <c r="AA52">
        <f>IF([@مفتاح_المقابل]="","",IF([@عدد_تطابقات]=0,"لا تطابق في دليل المقابل",IF([@عدد_تطابقات]&gt;1,"تطابق مكرر في الدليل","")))</f>
        <v/>
      </c>
      <c r="AB52">
        <f>IF([@عدد_تطابقات]&lt;&gt;1,"",_xlfn._xlws.XLOOKUP([@مفتاح_المقابل],tblContra[مفتاح_الحساب_المقابل],tblContra[كود_تحليلي],""))</f>
        <v/>
      </c>
      <c r="AC52">
        <f>IF(AND([@خطأ_المقابل]="",[@الحساب]&lt;&gt;"",OR([@مدين]&gt;0,[@دائن]&gt;0)),"نعم","لا")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رقم_الشيك</t>
        </is>
      </c>
      <c r="B1" s="2" t="inlineStr">
        <is>
          <t>TRX_استلام</t>
        </is>
      </c>
      <c r="C1" s="2" t="inlineStr">
        <is>
          <t>TRX_إيداع</t>
        </is>
      </c>
      <c r="D1" s="2" t="inlineStr">
        <is>
          <t>TRX_تحصيل</t>
        </is>
      </c>
      <c r="E1" s="2" t="inlineStr">
        <is>
          <t>الجهة</t>
        </is>
      </c>
      <c r="F1" s="2" t="inlineStr">
        <is>
          <t>المبلغ</t>
        </is>
      </c>
      <c r="G1" s="2" t="inlineStr">
        <is>
          <t>تاريخ_الاستحقاق</t>
        </is>
      </c>
      <c r="H1" s="2" t="inlineStr">
        <is>
          <t>الحالة</t>
        </is>
      </c>
      <c r="I1" s="2" t="inlineStr">
        <is>
          <t>ملاحظة</t>
        </is>
      </c>
    </row>
  </sheetData>
  <dataValidations count="1">
    <dataValidation sqref="H2:H500" showDropDown="0" showInputMessage="0" showErrorMessage="0" allowBlank="1" type="list">
      <formula1>"في_الخزينة,مودع_تحت_التحصيل,محصل,مرتد"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سجل معتمد (FILTER) — لا تعديل يدوي</t>
        </is>
      </c>
    </row>
    <row r="3">
      <c r="A3" s="2" t="inlineStr">
        <is>
          <t>رقم_الحركة</t>
        </is>
      </c>
      <c r="B3" s="2" t="inlineStr">
        <is>
          <t>رقم_نسخة</t>
        </is>
      </c>
      <c r="C3" s="2" t="inlineStr">
        <is>
          <t>التاريخ</t>
        </is>
      </c>
      <c r="D3" s="2" t="inlineStr">
        <is>
          <t>نوع_الحركة</t>
        </is>
      </c>
      <c r="E3" s="2" t="inlineStr">
        <is>
          <t>الحساب</t>
        </is>
      </c>
      <c r="F3" s="2" t="inlineStr">
        <is>
          <t>مدين</t>
        </is>
      </c>
      <c r="G3" s="2" t="inlineStr">
        <is>
          <t>دائن</t>
        </is>
      </c>
      <c r="H3" s="2" t="inlineStr">
        <is>
          <t>كود_التصنيف</t>
        </is>
      </c>
      <c r="I3" s="2" t="inlineStr">
        <is>
          <t>كود_معالجة_ضريبية</t>
        </is>
      </c>
      <c r="J3" s="2" t="inlineStr">
        <is>
          <t>قبل_الضريبة</t>
        </is>
      </c>
      <c r="K3" s="2" t="inlineStr">
        <is>
          <t>مبلغ_الضريبة</t>
        </is>
      </c>
      <c r="L3" s="2" t="inlineStr">
        <is>
          <t>الإجمالي</t>
        </is>
      </c>
      <c r="M3" s="2" t="inlineStr">
        <is>
          <t>الجهة</t>
        </is>
      </c>
      <c r="N3" s="2" t="inlineStr">
        <is>
          <t>نوع_الطرف</t>
        </is>
      </c>
      <c r="O3" s="2" t="inlineStr">
        <is>
          <t>قناة_البيع</t>
        </is>
      </c>
      <c r="P3" s="2" t="inlineStr">
        <is>
          <t>مرجع</t>
        </is>
      </c>
      <c r="Q3" s="2" t="inlineStr">
        <is>
          <t>طريقة_الدفع</t>
        </is>
      </c>
      <c r="R3" s="2" t="inlineStr">
        <is>
          <t>رقم_شيك</t>
        </is>
      </c>
      <c r="S3" s="2" t="inlineStr">
        <is>
          <t>نوع_تدفق</t>
        </is>
      </c>
      <c r="T3" s="2" t="inlineStr">
        <is>
          <t>يؤثر_في_الرصيد</t>
        </is>
      </c>
      <c r="U3" s="2" t="inlineStr">
        <is>
          <t>يُحسب_في_التدفق_التجاري</t>
        </is>
      </c>
      <c r="V3" s="2" t="inlineStr">
        <is>
          <t>حالة_السجل</t>
        </is>
      </c>
      <c r="W3" s="2" t="inlineStr">
        <is>
          <t>مرجع_الحركة_الأصلية</t>
        </is>
      </c>
      <c r="X3" s="2" t="inlineStr">
        <is>
          <t>مُعكَس_بواسطة</t>
        </is>
      </c>
      <c r="Y3" s="2" t="inlineStr">
        <is>
          <t>مفتاح_المقابل</t>
        </is>
      </c>
      <c r="Z3" s="2" t="inlineStr">
        <is>
          <t>عدد_تطابقات</t>
        </is>
      </c>
      <c r="AA3" s="2" t="inlineStr">
        <is>
          <t>خطأ_المقابل</t>
        </is>
      </c>
      <c r="AB3" s="2" t="inlineStr">
        <is>
          <t>الحساب_المقابل</t>
        </is>
      </c>
      <c r="AC3" s="2" t="inlineStr">
        <is>
          <t>يسمح_بالاعتماد</t>
        </is>
      </c>
      <c r="AD3" s="2" t="inlineStr">
        <is>
          <t>حالة_الاعتماد</t>
        </is>
      </c>
      <c r="AE3" s="2" t="inlineStr">
        <is>
          <t>الوصف</t>
        </is>
      </c>
      <c r="AF3" s="2" t="inlineStr">
        <is>
          <t>رقم_سطر_القيد</t>
        </is>
      </c>
      <c r="AG3" s="2" t="inlineStr">
        <is>
          <t>رصيد_بعد_الحركة</t>
        </is>
      </c>
    </row>
    <row r="4">
      <c r="A4">
        <f>IFERROR(_xlfn._xlws.VSTACK(_xlfn._xlws.FILTER(tblMove,(tblMove[حالة_الاعتماد]="معتمد")*(tblMove[حالة_السجل]&lt;&gt;"ملغاة")),_xlfn._xlws.FILTER(tblXfer,(tblXfer[حالة_الاعتماد]="معتمد")*(tblXfer[حالة_السجل]&lt;&gt;"ملغاة"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5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ترتيب: حساب → تاريخ → TRX</t>
        </is>
      </c>
    </row>
    <row r="3">
      <c r="A3" s="2" t="inlineStr">
        <is>
          <t>رقم_الحركة</t>
        </is>
      </c>
      <c r="B3" s="2" t="inlineStr">
        <is>
          <t>رقم_نسخة</t>
        </is>
      </c>
      <c r="C3" s="2" t="inlineStr">
        <is>
          <t>التاريخ</t>
        </is>
      </c>
      <c r="D3" s="2" t="inlineStr">
        <is>
          <t>نوع_الحركة</t>
        </is>
      </c>
      <c r="E3" s="2" t="inlineStr">
        <is>
          <t>الحساب</t>
        </is>
      </c>
      <c r="F3" s="2" t="inlineStr">
        <is>
          <t>مدين</t>
        </is>
      </c>
      <c r="G3" s="2" t="inlineStr">
        <is>
          <t>دائن</t>
        </is>
      </c>
      <c r="H3" s="2" t="inlineStr">
        <is>
          <t>كود_التصنيف</t>
        </is>
      </c>
      <c r="I3" s="2" t="inlineStr">
        <is>
          <t>كود_معالجة_ضريبية</t>
        </is>
      </c>
      <c r="J3" s="2" t="inlineStr">
        <is>
          <t>قبل_الضريبة</t>
        </is>
      </c>
      <c r="K3" s="2" t="inlineStr">
        <is>
          <t>مبلغ_الضريبة</t>
        </is>
      </c>
      <c r="L3" s="2" t="inlineStr">
        <is>
          <t>الإجمالي</t>
        </is>
      </c>
      <c r="M3" s="2" t="inlineStr">
        <is>
          <t>الجهة</t>
        </is>
      </c>
      <c r="N3" s="2" t="inlineStr">
        <is>
          <t>نوع_الطرف</t>
        </is>
      </c>
      <c r="O3" s="2" t="inlineStr">
        <is>
          <t>قناة_البيع</t>
        </is>
      </c>
      <c r="P3" s="2" t="inlineStr">
        <is>
          <t>مرجع</t>
        </is>
      </c>
      <c r="Q3" s="2" t="inlineStr">
        <is>
          <t>طريقة_الدفع</t>
        </is>
      </c>
      <c r="R3" s="2" t="inlineStr">
        <is>
          <t>رقم_شيك</t>
        </is>
      </c>
      <c r="S3" s="2" t="inlineStr">
        <is>
          <t>نوع_تدفق</t>
        </is>
      </c>
      <c r="T3" s="2" t="inlineStr">
        <is>
          <t>يؤثر_في_الرصيد</t>
        </is>
      </c>
      <c r="U3" s="2" t="inlineStr">
        <is>
          <t>يُحسب_في_التدفق_التجاري</t>
        </is>
      </c>
      <c r="V3" s="2" t="inlineStr">
        <is>
          <t>حالة_السجل</t>
        </is>
      </c>
      <c r="W3" s="2" t="inlineStr">
        <is>
          <t>مرجع_الحركة_الأصلية</t>
        </is>
      </c>
      <c r="X3" s="2" t="inlineStr">
        <is>
          <t>مُعكَس_بواسطة</t>
        </is>
      </c>
      <c r="Y3" s="2" t="inlineStr">
        <is>
          <t>مفتاح_المقابل</t>
        </is>
      </c>
      <c r="Z3" s="2" t="inlineStr">
        <is>
          <t>عدد_تطابقات</t>
        </is>
      </c>
      <c r="AA3" s="2" t="inlineStr">
        <is>
          <t>خطأ_المقابل</t>
        </is>
      </c>
      <c r="AB3" s="2" t="inlineStr">
        <is>
          <t>الحساب_المقابل</t>
        </is>
      </c>
      <c r="AC3" s="2" t="inlineStr">
        <is>
          <t>يسمح_بالاعتماد</t>
        </is>
      </c>
      <c r="AD3" s="2" t="inlineStr">
        <is>
          <t>حالة_الاعتماد</t>
        </is>
      </c>
      <c r="AE3" s="2" t="inlineStr">
        <is>
          <t>الوصف</t>
        </is>
      </c>
      <c r="AF3" s="2" t="inlineStr">
        <is>
          <t>رقم_سطر_القيد</t>
        </is>
      </c>
      <c r="AG3" s="2" t="inlineStr">
        <is>
          <t>صافي_الحركة</t>
        </is>
      </c>
      <c r="AH3" s="2" t="inlineStr">
        <is>
          <t>رصيد_بعد_الحركة</t>
        </is>
      </c>
      <c r="AI3" s="2" t="inlineStr">
        <is>
          <t>ترتيب_محاسبي</t>
        </is>
      </c>
    </row>
    <row r="4">
      <c r="A4">
        <f>IFERROR(_xlfn._xlws.SORT(_xlfn._xlws.VSTACK(_xlfn._xlws.FILTER(tblMove,(tblMove[حالة_الاعتماد]="معتمد")*(tblMove[حالة_السجل]&lt;&gt;"ملغاة")),_xlfn._xlws.FILTER(tblXfer,(tblXfer[حالة_الاعتماد]="معتمد")*(tblXfer[حالة_السجل]&lt;&gt;"ملغاة"))),5,1,3,1,1,1),"")</f>
        <v/>
      </c>
      <c r="AG4">
        <f>IF($E4="","",IF($T4="نعم",$F4-$G4,0))</f>
        <v/>
      </c>
      <c r="AH4">
        <f>IF($E4="","",IF(AND($E4=$E3,$AH3&lt;&gt;""),$AH3+$AG4,_xlfn._xlws.XLOOKUP($E4,tblAccounts[اسم_الحساب],tblAccounts[رصيد_افتتاحي],0)+$AG4))</f>
        <v/>
      </c>
    </row>
    <row r="5">
      <c r="AG5">
        <f>IF($E5="","",IF($T5="نعم",$F5-$G5,0))</f>
        <v/>
      </c>
      <c r="AH5">
        <f>IF($E5="","",IF(AND($E5=$E4,$AH4&lt;&gt;""),$AH4+$AG5,_xlfn._xlws.XLOOKUP($E5,tblAccounts[اسم_الحساب],tblAccounts[رصيد_افتتاحي],0)+$AG5))</f>
        <v/>
      </c>
    </row>
    <row r="6">
      <c r="AG6">
        <f>IF($E6="","",IF($T6="نعم",$F6-$G6,0))</f>
        <v/>
      </c>
      <c r="AH6">
        <f>IF($E6="","",IF(AND($E6=$E5,$AH5&lt;&gt;""),$AH5+$AG6,_xlfn._xlws.XLOOKUP($E6,tblAccounts[اسم_الحساب],tblAccounts[رصيد_افتتاحي],0)+$AG6))</f>
        <v/>
      </c>
    </row>
    <row r="7">
      <c r="AG7">
        <f>IF($E7="","",IF($T7="نعم",$F7-$G7,0))</f>
        <v/>
      </c>
      <c r="AH7">
        <f>IF($E7="","",IF(AND($E7=$E6,$AH6&lt;&gt;""),$AH6+$AG7,_xlfn._xlws.XLOOKUP($E7,tblAccounts[اسم_الحساب],tblAccounts[رصيد_افتتاحي],0)+$AG7))</f>
        <v/>
      </c>
    </row>
    <row r="8">
      <c r="AG8">
        <f>IF($E8="","",IF($T8="نعم",$F8-$G8,0))</f>
        <v/>
      </c>
      <c r="AH8">
        <f>IF($E8="","",IF(AND($E8=$E7,$AH7&lt;&gt;""),$AH7+$AG8,_xlfn._xlws.XLOOKUP($E8,tblAccounts[اسم_الحساب],tblAccounts[رصيد_افتتاحي],0)+$AG8))</f>
        <v/>
      </c>
    </row>
    <row r="9">
      <c r="AG9">
        <f>IF($E9="","",IF($T9="نعم",$F9-$G9,0))</f>
        <v/>
      </c>
      <c r="AH9">
        <f>IF($E9="","",IF(AND($E9=$E8,$AH8&lt;&gt;""),$AH8+$AG9,_xlfn._xlws.XLOOKUP($E9,tblAccounts[اسم_الحساب],tblAccounts[رصيد_افتتاحي],0)+$AG9))</f>
        <v/>
      </c>
    </row>
    <row r="10">
      <c r="AG10">
        <f>IF($E10="","",IF($T10="نعم",$F10-$G10,0))</f>
        <v/>
      </c>
      <c r="AH10">
        <f>IF($E10="","",IF(AND($E10=$E9,$AH9&lt;&gt;""),$AH9+$AG10,_xlfn._xlws.XLOOKUP($E10,tblAccounts[اسم_الحساب],tblAccounts[رصيد_افتتاحي],0)+$AG10))</f>
        <v/>
      </c>
    </row>
    <row r="11">
      <c r="AG11">
        <f>IF($E11="","",IF($T11="نعم",$F11-$G11,0))</f>
        <v/>
      </c>
      <c r="AH11">
        <f>IF($E11="","",IF(AND($E11=$E10,$AH10&lt;&gt;""),$AH10+$AG11,_xlfn._xlws.XLOOKUP($E11,tblAccounts[اسم_الحساب],tblAccounts[رصيد_افتتاحي],0)+$AG11))</f>
        <v/>
      </c>
    </row>
    <row r="12">
      <c r="AG12">
        <f>IF($E12="","",IF($T12="نعم",$F12-$G12,0))</f>
        <v/>
      </c>
      <c r="AH12">
        <f>IF($E12="","",IF(AND($E12=$E11,$AH11&lt;&gt;""),$AH11+$AG12,_xlfn._xlws.XLOOKUP($E12,tblAccounts[اسم_الحساب],tblAccounts[رصيد_افتتاحي],0)+$AG12))</f>
        <v/>
      </c>
    </row>
    <row r="13">
      <c r="AG13">
        <f>IF($E13="","",IF($T13="نعم",$F13-$G13,0))</f>
        <v/>
      </c>
      <c r="AH13">
        <f>IF($E13="","",IF(AND($E13=$E12,$AH12&lt;&gt;""),$AH12+$AG13,_xlfn._xlws.XLOOKUP($E13,tblAccounts[اسم_الحساب],tblAccounts[رصيد_افتتاحي],0)+$AG13))</f>
        <v/>
      </c>
    </row>
    <row r="14">
      <c r="AG14">
        <f>IF($E14="","",IF($T14="نعم",$F14-$G14,0))</f>
        <v/>
      </c>
      <c r="AH14">
        <f>IF($E14="","",IF(AND($E14=$E13,$AH13&lt;&gt;""),$AH13+$AG14,_xlfn._xlws.XLOOKUP($E14,tblAccounts[اسم_الحساب],tblAccounts[رصيد_افتتاحي],0)+$AG14))</f>
        <v/>
      </c>
    </row>
    <row r="15">
      <c r="AG15">
        <f>IF($E15="","",IF($T15="نعم",$F15-$G15,0))</f>
        <v/>
      </c>
      <c r="AH15">
        <f>IF($E15="","",IF(AND($E15=$E14,$AH14&lt;&gt;""),$AH14+$AG15,_xlfn._xlws.XLOOKUP($E15,tblAccounts[اسم_الحساب],tblAccounts[رصيد_افتتاحي],0)+$AG15))</f>
        <v/>
      </c>
    </row>
    <row r="16">
      <c r="AG16">
        <f>IF($E16="","",IF($T16="نعم",$F16-$G16,0))</f>
        <v/>
      </c>
      <c r="AH16">
        <f>IF($E16="","",IF(AND($E16=$E15,$AH15&lt;&gt;""),$AH15+$AG16,_xlfn._xlws.XLOOKUP($E16,tblAccounts[اسم_الحساب],tblAccounts[رصيد_افتتاحي],0)+$AG16))</f>
        <v/>
      </c>
    </row>
    <row r="17">
      <c r="AG17">
        <f>IF($E17="","",IF($T17="نعم",$F17-$G17,0))</f>
        <v/>
      </c>
      <c r="AH17">
        <f>IF($E17="","",IF(AND($E17=$E16,$AH16&lt;&gt;""),$AH16+$AG17,_xlfn._xlws.XLOOKUP($E17,tblAccounts[اسم_الحساب],tblAccounts[رصيد_افتتاحي],0)+$AG17))</f>
        <v/>
      </c>
    </row>
    <row r="18">
      <c r="AG18">
        <f>IF($E18="","",IF($T18="نعم",$F18-$G18,0))</f>
        <v/>
      </c>
      <c r="AH18">
        <f>IF($E18="","",IF(AND($E18=$E17,$AH17&lt;&gt;""),$AH17+$AG18,_xlfn._xlws.XLOOKUP($E18,tblAccounts[اسم_الحساب],tblAccounts[رصيد_افتتاحي],0)+$AG18))</f>
        <v/>
      </c>
    </row>
    <row r="19">
      <c r="AG19">
        <f>IF($E19="","",IF($T19="نعم",$F19-$G19,0))</f>
        <v/>
      </c>
      <c r="AH19">
        <f>IF($E19="","",IF(AND($E19=$E18,$AH18&lt;&gt;""),$AH18+$AG19,_xlfn._xlws.XLOOKUP($E19,tblAccounts[اسم_الحساب],tblAccounts[رصيد_افتتاحي],0)+$AG19))</f>
        <v/>
      </c>
    </row>
    <row r="20">
      <c r="AG20">
        <f>IF($E20="","",IF($T20="نعم",$F20-$G20,0))</f>
        <v/>
      </c>
      <c r="AH20">
        <f>IF($E20="","",IF(AND($E20=$E19,$AH19&lt;&gt;""),$AH19+$AG20,_xlfn._xlws.XLOOKUP($E20,tblAccounts[اسم_الحساب],tblAccounts[رصيد_افتتاحي],0)+$AG20))</f>
        <v/>
      </c>
    </row>
    <row r="21">
      <c r="AG21">
        <f>IF($E21="","",IF($T21="نعم",$F21-$G21,0))</f>
        <v/>
      </c>
      <c r="AH21">
        <f>IF($E21="","",IF(AND($E21=$E20,$AH20&lt;&gt;""),$AH20+$AG21,_xlfn._xlws.XLOOKUP($E21,tblAccounts[اسم_الحساب],tblAccounts[رصيد_افتتاحي],0)+$AG21))</f>
        <v/>
      </c>
    </row>
    <row r="22">
      <c r="AG22">
        <f>IF($E22="","",IF($T22="نعم",$F22-$G22,0))</f>
        <v/>
      </c>
      <c r="AH22">
        <f>IF($E22="","",IF(AND($E22=$E21,$AH21&lt;&gt;""),$AH21+$AG22,_xlfn._xlws.XLOOKUP($E22,tblAccounts[اسم_الحساب],tblAccounts[رصيد_افتتاحي],0)+$AG22))</f>
        <v/>
      </c>
    </row>
    <row r="23">
      <c r="AG23">
        <f>IF($E23="","",IF($T23="نعم",$F23-$G23,0))</f>
        <v/>
      </c>
      <c r="AH23">
        <f>IF($E23="","",IF(AND($E23=$E22,$AH22&lt;&gt;""),$AH22+$AG23,_xlfn._xlws.XLOOKUP($E23,tblAccounts[اسم_الحساب],tblAccounts[رصيد_افتتاحي],0)+$AG23))</f>
        <v/>
      </c>
    </row>
    <row r="24">
      <c r="AG24">
        <f>IF($E24="","",IF($T24="نعم",$F24-$G24,0))</f>
        <v/>
      </c>
      <c r="AH24">
        <f>IF($E24="","",IF(AND($E24=$E23,$AH23&lt;&gt;""),$AH23+$AG24,_xlfn._xlws.XLOOKUP($E24,tblAccounts[اسم_الحساب],tblAccounts[رصيد_افتتاحي],0)+$AG24))</f>
        <v/>
      </c>
    </row>
    <row r="25">
      <c r="AG25">
        <f>IF($E25="","",IF($T25="نعم",$F25-$G25,0))</f>
        <v/>
      </c>
      <c r="AH25">
        <f>IF($E25="","",IF(AND($E25=$E24,$AH24&lt;&gt;""),$AH24+$AG25,_xlfn._xlws.XLOOKUP($E25,tblAccounts[اسم_الحساب],tblAccounts[رصيد_افتتاحي],0)+$AG25))</f>
        <v/>
      </c>
    </row>
    <row r="26">
      <c r="AG26">
        <f>IF($E26="","",IF($T26="نعم",$F26-$G26,0))</f>
        <v/>
      </c>
      <c r="AH26">
        <f>IF($E26="","",IF(AND($E26=$E25,$AH25&lt;&gt;""),$AH25+$AG26,_xlfn._xlws.XLOOKUP($E26,tblAccounts[اسم_الحساب],tblAccounts[رصيد_افتتاحي],0)+$AG26))</f>
        <v/>
      </c>
    </row>
    <row r="27">
      <c r="AG27">
        <f>IF($E27="","",IF($T27="نعم",$F27-$G27,0))</f>
        <v/>
      </c>
      <c r="AH27">
        <f>IF($E27="","",IF(AND($E27=$E26,$AH26&lt;&gt;""),$AH26+$AG27,_xlfn._xlws.XLOOKUP($E27,tblAccounts[اسم_الحساب],tblAccounts[رصيد_افتتاحي],0)+$AG27))</f>
        <v/>
      </c>
    </row>
    <row r="28">
      <c r="AG28">
        <f>IF($E28="","",IF($T28="نعم",$F28-$G28,0))</f>
        <v/>
      </c>
      <c r="AH28">
        <f>IF($E28="","",IF(AND($E28=$E27,$AH27&lt;&gt;""),$AH27+$AG28,_xlfn._xlws.XLOOKUP($E28,tblAccounts[اسم_الحساب],tblAccounts[رصيد_افتتاحي],0)+$AG28))</f>
        <v/>
      </c>
    </row>
    <row r="29">
      <c r="AG29">
        <f>IF($E29="","",IF($T29="نعم",$F29-$G29,0))</f>
        <v/>
      </c>
      <c r="AH29">
        <f>IF($E29="","",IF(AND($E29=$E28,$AH28&lt;&gt;""),$AH28+$AG29,_xlfn._xlws.XLOOKUP($E29,tblAccounts[اسم_الحساب],tblAccounts[رصيد_افتتاحي],0)+$AG29))</f>
        <v/>
      </c>
    </row>
    <row r="30">
      <c r="AG30">
        <f>IF($E30="","",IF($T30="نعم",$F30-$G30,0))</f>
        <v/>
      </c>
      <c r="AH30">
        <f>IF($E30="","",IF(AND($E30=$E29,$AH29&lt;&gt;""),$AH29+$AG30,_xlfn._xlws.XLOOKUP($E30,tblAccounts[اسم_الحساب],tblAccounts[رصيد_افتتاحي],0)+$AG30))</f>
        <v/>
      </c>
    </row>
    <row r="31">
      <c r="AG31">
        <f>IF($E31="","",IF($T31="نعم",$F31-$G31,0))</f>
        <v/>
      </c>
      <c r="AH31">
        <f>IF($E31="","",IF(AND($E31=$E30,$AH30&lt;&gt;""),$AH30+$AG31,_xlfn._xlws.XLOOKUP($E31,tblAccounts[اسم_الحساب],tblAccounts[رصيد_افتتاحي],0)+$AG31))</f>
        <v/>
      </c>
    </row>
    <row r="32">
      <c r="AG32">
        <f>IF($E32="","",IF($T32="نعم",$F32-$G32,0))</f>
        <v/>
      </c>
      <c r="AH32">
        <f>IF($E32="","",IF(AND($E32=$E31,$AH31&lt;&gt;""),$AH31+$AG32,_xlfn._xlws.XLOOKUP($E32,tblAccounts[اسم_الحساب],tblAccounts[رصيد_افتتاحي],0)+$AG32))</f>
        <v/>
      </c>
    </row>
    <row r="33">
      <c r="AG33">
        <f>IF($E33="","",IF($T33="نعم",$F33-$G33,0))</f>
        <v/>
      </c>
      <c r="AH33">
        <f>IF($E33="","",IF(AND($E33=$E32,$AH32&lt;&gt;""),$AH32+$AG33,_xlfn._xlws.XLOOKUP($E33,tblAccounts[اسم_الحساب],tblAccounts[رصيد_افتتاحي],0)+$AG33))</f>
        <v/>
      </c>
    </row>
    <row r="34">
      <c r="AG34">
        <f>IF($E34="","",IF($T34="نعم",$F34-$G34,0))</f>
        <v/>
      </c>
      <c r="AH34">
        <f>IF($E34="","",IF(AND($E34=$E33,$AH33&lt;&gt;""),$AH33+$AG34,_xlfn._xlws.XLOOKUP($E34,tblAccounts[اسم_الحساب],tblAccounts[رصيد_افتتاحي],0)+$AG34))</f>
        <v/>
      </c>
    </row>
    <row r="35">
      <c r="AG35">
        <f>IF($E35="","",IF($T35="نعم",$F35-$G35,0))</f>
        <v/>
      </c>
      <c r="AH35">
        <f>IF($E35="","",IF(AND($E35=$E34,$AH34&lt;&gt;""),$AH34+$AG35,_xlfn._xlws.XLOOKUP($E35,tblAccounts[اسم_الحساب],tblAccounts[رصيد_افتتاحي],0)+$AG35))</f>
        <v/>
      </c>
    </row>
    <row r="36">
      <c r="AG36">
        <f>IF($E36="","",IF($T36="نعم",$F36-$G36,0))</f>
        <v/>
      </c>
      <c r="AH36">
        <f>IF($E36="","",IF(AND($E36=$E35,$AH35&lt;&gt;""),$AH35+$AG36,_xlfn._xlws.XLOOKUP($E36,tblAccounts[اسم_الحساب],tblAccounts[رصيد_افتتاحي],0)+$AG36))</f>
        <v/>
      </c>
    </row>
    <row r="37">
      <c r="AG37">
        <f>IF($E37="","",IF($T37="نعم",$F37-$G37,0))</f>
        <v/>
      </c>
      <c r="AH37">
        <f>IF($E37="","",IF(AND($E37=$E36,$AH36&lt;&gt;""),$AH36+$AG37,_xlfn._xlws.XLOOKUP($E37,tblAccounts[اسم_الحساب],tblAccounts[رصيد_افتتاحي],0)+$AG37))</f>
        <v/>
      </c>
    </row>
    <row r="38">
      <c r="AG38">
        <f>IF($E38="","",IF($T38="نعم",$F38-$G38,0))</f>
        <v/>
      </c>
      <c r="AH38">
        <f>IF($E38="","",IF(AND($E38=$E37,$AH37&lt;&gt;""),$AH37+$AG38,_xlfn._xlws.XLOOKUP($E38,tblAccounts[اسم_الحساب],tblAccounts[رصيد_افتتاحي],0)+$AG38))</f>
        <v/>
      </c>
    </row>
    <row r="39">
      <c r="AG39">
        <f>IF($E39="","",IF($T39="نعم",$F39-$G39,0))</f>
        <v/>
      </c>
      <c r="AH39">
        <f>IF($E39="","",IF(AND($E39=$E38,$AH38&lt;&gt;""),$AH38+$AG39,_xlfn._xlws.XLOOKUP($E39,tblAccounts[اسم_الحساب],tblAccounts[رصيد_افتتاحي],0)+$AG39))</f>
        <v/>
      </c>
    </row>
    <row r="40">
      <c r="AG40">
        <f>IF($E40="","",IF($T40="نعم",$F40-$G40,0))</f>
        <v/>
      </c>
      <c r="AH40">
        <f>IF($E40="","",IF(AND($E40=$E39,$AH39&lt;&gt;""),$AH39+$AG40,_xlfn._xlws.XLOOKUP($E40,tblAccounts[اسم_الحساب],tblAccounts[رصيد_افتتاحي],0)+$AG40))</f>
        <v/>
      </c>
    </row>
    <row r="41">
      <c r="AG41">
        <f>IF($E41="","",IF($T41="نعم",$F41-$G41,0))</f>
        <v/>
      </c>
      <c r="AH41">
        <f>IF($E41="","",IF(AND($E41=$E40,$AH40&lt;&gt;""),$AH40+$AG41,_xlfn._xlws.XLOOKUP($E41,tblAccounts[اسم_الحساب],tblAccounts[رصيد_افتتاحي],0)+$AG41))</f>
        <v/>
      </c>
    </row>
    <row r="42">
      <c r="AG42">
        <f>IF($E42="","",IF($T42="نعم",$F42-$G42,0))</f>
        <v/>
      </c>
      <c r="AH42">
        <f>IF($E42="","",IF(AND($E42=$E41,$AH41&lt;&gt;""),$AH41+$AG42,_xlfn._xlws.XLOOKUP($E42,tblAccounts[اسم_الحساب],tblAccounts[رصيد_افتتاحي],0)+$AG42))</f>
        <v/>
      </c>
    </row>
    <row r="43">
      <c r="AG43">
        <f>IF($E43="","",IF($T43="نعم",$F43-$G43,0))</f>
        <v/>
      </c>
      <c r="AH43">
        <f>IF($E43="","",IF(AND($E43=$E42,$AH42&lt;&gt;""),$AH42+$AG43,_xlfn._xlws.XLOOKUP($E43,tblAccounts[اسم_الحساب],tblAccounts[رصيد_افتتاحي],0)+$AG43))</f>
        <v/>
      </c>
    </row>
    <row r="44">
      <c r="AG44">
        <f>IF($E44="","",IF($T44="نعم",$F44-$G44,0))</f>
        <v/>
      </c>
      <c r="AH44">
        <f>IF($E44="","",IF(AND($E44=$E43,$AH43&lt;&gt;""),$AH43+$AG44,_xlfn._xlws.XLOOKUP($E44,tblAccounts[اسم_الحساب],tblAccounts[رصيد_افتتاحي],0)+$AG44))</f>
        <v/>
      </c>
    </row>
    <row r="45">
      <c r="AG45">
        <f>IF($E45="","",IF($T45="نعم",$F45-$G45,0))</f>
        <v/>
      </c>
      <c r="AH45">
        <f>IF($E45="","",IF(AND($E45=$E44,$AH44&lt;&gt;""),$AH44+$AG45,_xlfn._xlws.XLOOKUP($E45,tblAccounts[اسم_الحساب],tblAccounts[رصيد_افتتاحي],0)+$AG45))</f>
        <v/>
      </c>
    </row>
    <row r="46">
      <c r="AG46">
        <f>IF($E46="","",IF($T46="نعم",$F46-$G46,0))</f>
        <v/>
      </c>
      <c r="AH46">
        <f>IF($E46="","",IF(AND($E46=$E45,$AH45&lt;&gt;""),$AH45+$AG46,_xlfn._xlws.XLOOKUP($E46,tblAccounts[اسم_الحساب],tblAccounts[رصيد_افتتاحي],0)+$AG46))</f>
        <v/>
      </c>
    </row>
    <row r="47">
      <c r="AG47">
        <f>IF($E47="","",IF($T47="نعم",$F47-$G47,0))</f>
        <v/>
      </c>
      <c r="AH47">
        <f>IF($E47="","",IF(AND($E47=$E46,$AH46&lt;&gt;""),$AH46+$AG47,_xlfn._xlws.XLOOKUP($E47,tblAccounts[اسم_الحساب],tblAccounts[رصيد_افتتاحي],0)+$AG47))</f>
        <v/>
      </c>
    </row>
    <row r="48">
      <c r="AG48">
        <f>IF($E48="","",IF($T48="نعم",$F48-$G48,0))</f>
        <v/>
      </c>
      <c r="AH48">
        <f>IF($E48="","",IF(AND($E48=$E47,$AH47&lt;&gt;""),$AH47+$AG48,_xlfn._xlws.XLOOKUP($E48,tblAccounts[اسم_الحساب],tblAccounts[رصيد_افتتاحي],0)+$AG48))</f>
        <v/>
      </c>
    </row>
    <row r="49">
      <c r="AG49">
        <f>IF($E49="","",IF($T49="نعم",$F49-$G49,0))</f>
        <v/>
      </c>
      <c r="AH49">
        <f>IF($E49="","",IF(AND($E49=$E48,$AH48&lt;&gt;""),$AH48+$AG49,_xlfn._xlws.XLOOKUP($E49,tblAccounts[اسم_الحساب],tblAccounts[رصيد_افتتاحي],0)+$AG49))</f>
        <v/>
      </c>
    </row>
    <row r="50">
      <c r="AG50">
        <f>IF($E50="","",IF($T50="نعم",$F50-$G50,0))</f>
        <v/>
      </c>
      <c r="AH50">
        <f>IF($E50="","",IF(AND($E50=$E49,$AH49&lt;&gt;""),$AH49+$AG50,_xlfn._xlws.XLOOKUP($E50,tblAccounts[اسم_الحساب],tblAccounts[رصيد_افتتاحي],0)+$AG50))</f>
        <v/>
      </c>
    </row>
    <row r="51">
      <c r="AG51">
        <f>IF($E51="","",IF($T51="نعم",$F51-$G51,0))</f>
        <v/>
      </c>
      <c r="AH51">
        <f>IF($E51="","",IF(AND($E51=$E50,$AH50&lt;&gt;""),$AH50+$AG51,_xlfn._xlws.XLOOKUP($E51,tblAccounts[اسم_الحساب],tblAccounts[رصيد_افتتاحي],0)+$AG51))</f>
        <v/>
      </c>
    </row>
    <row r="52">
      <c r="AG52">
        <f>IF($E52="","",IF($T52="نعم",$F52-$G52,0))</f>
        <v/>
      </c>
      <c r="AH52">
        <f>IF($E52="","",IF(AND($E52=$E51,$AH51&lt;&gt;""),$AH51+$AG52,_xlfn._xlws.XLOOKUP($E52,tblAccounts[اسم_الحساب],tblAccounts[رصيد_افتتاحي],0)+$AG52))</f>
        <v/>
      </c>
    </row>
    <row r="53">
      <c r="AG53">
        <f>IF($E53="","",IF($T53="نعم",$F53-$G53,0))</f>
        <v/>
      </c>
      <c r="AH53">
        <f>IF($E53="","",IF(AND($E53=$E52,$AH52&lt;&gt;""),$AH52+$AG53,_xlfn._xlws.XLOOKUP($E53,tblAccounts[اسم_الحساب],tblAccounts[رصيد_افتتاحي],0)+$AG53))</f>
        <v/>
      </c>
    </row>
    <row r="54">
      <c r="AG54">
        <f>IF($E54="","",IF($T54="نعم",$F54-$G54,0))</f>
        <v/>
      </c>
      <c r="AH54">
        <f>IF($E54="","",IF(AND($E54=$E53,$AH53&lt;&gt;""),$AH53+$AG54,_xlfn._xlws.XLOOKUP($E54,tblAccounts[اسم_الحساب],tblAccounts[رصيد_افتتاحي],0)+$AG54))</f>
        <v/>
      </c>
    </row>
    <row r="55">
      <c r="AG55">
        <f>IF($E55="","",IF($T55="نعم",$F55-$G55,0))</f>
        <v/>
      </c>
      <c r="AH55">
        <f>IF($E55="","",IF(AND($E55=$E54,$AH54&lt;&gt;""),$AH54+$AG55,_xlfn._xlws.XLOOKUP($E55,tblAccounts[اسم_الحساب],tblAccounts[رصيد_افتتاحي],0)+$AG55))</f>
        <v/>
      </c>
    </row>
    <row r="56">
      <c r="AG56">
        <f>IF($E56="","",IF($T56="نعم",$F56-$G56,0))</f>
        <v/>
      </c>
      <c r="AH56">
        <f>IF($E56="","",IF(AND($E56=$E55,$AH55&lt;&gt;""),$AH55+$AG56,_xlfn._xlws.XLOOKUP($E56,tblAccounts[اسم_الحساب],tblAccounts[رصيد_افتتاحي],0)+$AG56))</f>
        <v/>
      </c>
    </row>
    <row r="57">
      <c r="AG57">
        <f>IF($E57="","",IF($T57="نعم",$F57-$G57,0))</f>
        <v/>
      </c>
      <c r="AH57">
        <f>IF($E57="","",IF(AND($E57=$E56,$AH56&lt;&gt;""),$AH56+$AG57,_xlfn._xlws.XLOOKUP($E57,tblAccounts[اسم_الحساب],tblAccounts[رصيد_افتتاحي],0)+$AG57))</f>
        <v/>
      </c>
    </row>
    <row r="58">
      <c r="AG58">
        <f>IF($E58="","",IF($T58="نعم",$F58-$G58,0))</f>
        <v/>
      </c>
      <c r="AH58">
        <f>IF($E58="","",IF(AND($E58=$E57,$AH57&lt;&gt;""),$AH57+$AG58,_xlfn._xlws.XLOOKUP($E58,tblAccounts[اسم_الحساب],tblAccounts[رصيد_افتتاحي],0)+$AG58))</f>
        <v/>
      </c>
    </row>
    <row r="59">
      <c r="AG59">
        <f>IF($E59="","",IF($T59="نعم",$F59-$G59,0))</f>
        <v/>
      </c>
      <c r="AH59">
        <f>IF($E59="","",IF(AND($E59=$E58,$AH58&lt;&gt;""),$AH58+$AG59,_xlfn._xlws.XLOOKUP($E59,tblAccounts[اسم_الحساب],tblAccounts[رصيد_افتتاحي],0)+$AG59))</f>
        <v/>
      </c>
    </row>
    <row r="60">
      <c r="AG60">
        <f>IF($E60="","",IF($T60="نعم",$F60-$G60,0))</f>
        <v/>
      </c>
      <c r="AH60">
        <f>IF($E60="","",IF(AND($E60=$E59,$AH59&lt;&gt;""),$AH59+$AG60,_xlfn._xlws.XLOOKUP($E60,tblAccounts[اسم_الحساب],tblAccounts[رصيد_افتتاحي],0)+$AG60))</f>
        <v/>
      </c>
    </row>
    <row r="61">
      <c r="AG61">
        <f>IF($E61="","",IF($T61="نعم",$F61-$G61,0))</f>
        <v/>
      </c>
      <c r="AH61">
        <f>IF($E61="","",IF(AND($E61=$E60,$AH60&lt;&gt;""),$AH60+$AG61,_xlfn._xlws.XLOOKUP($E61,tblAccounts[اسم_الحساب],tblAccounts[رصيد_افتتاحي],0)+$AG61))</f>
        <v/>
      </c>
    </row>
    <row r="62">
      <c r="AG62">
        <f>IF($E62="","",IF($T62="نعم",$F62-$G62,0))</f>
        <v/>
      </c>
      <c r="AH62">
        <f>IF($E62="","",IF(AND($E62=$E61,$AH61&lt;&gt;""),$AH61+$AG62,_xlfn._xlws.XLOOKUP($E62,tblAccounts[اسم_الحساب],tblAccounts[رصيد_افتتاحي],0)+$AG62))</f>
        <v/>
      </c>
    </row>
    <row r="63">
      <c r="AG63">
        <f>IF($E63="","",IF($T63="نعم",$F63-$G63,0))</f>
        <v/>
      </c>
      <c r="AH63">
        <f>IF($E63="","",IF(AND($E63=$E62,$AH62&lt;&gt;""),$AH62+$AG63,_xlfn._xlws.XLOOKUP($E63,tblAccounts[اسم_الحساب],tblAccounts[رصيد_افتتاحي],0)+$AG63))</f>
        <v/>
      </c>
    </row>
    <row r="64">
      <c r="AG64">
        <f>IF($E64="","",IF($T64="نعم",$F64-$G64,0))</f>
        <v/>
      </c>
      <c r="AH64">
        <f>IF($E64="","",IF(AND($E64=$E63,$AH63&lt;&gt;""),$AH63+$AG64,_xlfn._xlws.XLOOKUP($E64,tblAccounts[اسم_الحساب],tblAccounts[رصيد_افتتاحي],0)+$AG64))</f>
        <v/>
      </c>
    </row>
    <row r="65">
      <c r="AG65">
        <f>IF($E65="","",IF($T65="نعم",$F65-$G65,0))</f>
        <v/>
      </c>
      <c r="AH65">
        <f>IF($E65="","",IF(AND($E65=$E64,$AH64&lt;&gt;""),$AH64+$AG65,_xlfn._xlws.XLOOKUP($E65,tblAccounts[اسم_الحساب],tblAccounts[رصيد_افتتاحي],0)+$AG65))</f>
        <v/>
      </c>
    </row>
    <row r="66">
      <c r="AG66">
        <f>IF($E66="","",IF($T66="نعم",$F66-$G66,0))</f>
        <v/>
      </c>
      <c r="AH66">
        <f>IF($E66="","",IF(AND($E66=$E65,$AH65&lt;&gt;""),$AH65+$AG66,_xlfn._xlws.XLOOKUP($E66,tblAccounts[اسم_الحساب],tblAccounts[رصيد_افتتاحي],0)+$AG66))</f>
        <v/>
      </c>
    </row>
    <row r="67">
      <c r="AG67">
        <f>IF($E67="","",IF($T67="نعم",$F67-$G67,0))</f>
        <v/>
      </c>
      <c r="AH67">
        <f>IF($E67="","",IF(AND($E67=$E66,$AH66&lt;&gt;""),$AH66+$AG67,_xlfn._xlws.XLOOKUP($E67,tblAccounts[اسم_الحساب],tblAccounts[رصيد_افتتاحي],0)+$AG67))</f>
        <v/>
      </c>
    </row>
    <row r="68">
      <c r="AG68">
        <f>IF($E68="","",IF($T68="نعم",$F68-$G68,0))</f>
        <v/>
      </c>
      <c r="AH68">
        <f>IF($E68="","",IF(AND($E68=$E67,$AH67&lt;&gt;""),$AH67+$AG68,_xlfn._xlws.XLOOKUP($E68,tblAccounts[اسم_الحساب],tblAccounts[رصيد_افتتاحي],0)+$AG68))</f>
        <v/>
      </c>
    </row>
    <row r="69">
      <c r="AG69">
        <f>IF($E69="","",IF($T69="نعم",$F69-$G69,0))</f>
        <v/>
      </c>
      <c r="AH69">
        <f>IF($E69="","",IF(AND($E69=$E68,$AH68&lt;&gt;""),$AH68+$AG69,_xlfn._xlws.XLOOKUP($E69,tblAccounts[اسم_الحساب],tblAccounts[رصيد_افتتاحي],0)+$AG69))</f>
        <v/>
      </c>
    </row>
    <row r="70">
      <c r="AG70">
        <f>IF($E70="","",IF($T70="نعم",$F70-$G70,0))</f>
        <v/>
      </c>
      <c r="AH70">
        <f>IF($E70="","",IF(AND($E70=$E69,$AH69&lt;&gt;""),$AH69+$AG70,_xlfn._xlws.XLOOKUP($E70,tblAccounts[اسم_الحساب],tblAccounts[رصيد_افتتاحي],0)+$AG70))</f>
        <v/>
      </c>
    </row>
    <row r="71">
      <c r="AG71">
        <f>IF($E71="","",IF($T71="نعم",$F71-$G71,0))</f>
        <v/>
      </c>
      <c r="AH71">
        <f>IF($E71="","",IF(AND($E71=$E70,$AH70&lt;&gt;""),$AH70+$AG71,_xlfn._xlws.XLOOKUP($E71,tblAccounts[اسم_الحساب],tblAccounts[رصيد_افتتاحي],0)+$AG71))</f>
        <v/>
      </c>
    </row>
    <row r="72">
      <c r="AG72">
        <f>IF($E72="","",IF($T72="نعم",$F72-$G72,0))</f>
        <v/>
      </c>
      <c r="AH72">
        <f>IF($E72="","",IF(AND($E72=$E71,$AH71&lt;&gt;""),$AH71+$AG72,_xlfn._xlws.XLOOKUP($E72,tblAccounts[اسم_الحساب],tblAccounts[رصيد_افتتاحي],0)+$AG72))</f>
        <v/>
      </c>
    </row>
    <row r="73">
      <c r="AG73">
        <f>IF($E73="","",IF($T73="نعم",$F73-$G73,0))</f>
        <v/>
      </c>
      <c r="AH73">
        <f>IF($E73="","",IF(AND($E73=$E72,$AH72&lt;&gt;""),$AH72+$AG73,_xlfn._xlws.XLOOKUP($E73,tblAccounts[اسم_الحساب],tblAccounts[رصيد_افتتاحي],0)+$AG73))</f>
        <v/>
      </c>
    </row>
    <row r="74">
      <c r="AG74">
        <f>IF($E74="","",IF($T74="نعم",$F74-$G74,0))</f>
        <v/>
      </c>
      <c r="AH74">
        <f>IF($E74="","",IF(AND($E74=$E73,$AH73&lt;&gt;""),$AH73+$AG74,_xlfn._xlws.XLOOKUP($E74,tblAccounts[اسم_الحساب],tblAccounts[رصيد_افتتاحي],0)+$AG74))</f>
        <v/>
      </c>
    </row>
    <row r="75">
      <c r="AG75">
        <f>IF($E75="","",IF($T75="نعم",$F75-$G75,0))</f>
        <v/>
      </c>
      <c r="AH75">
        <f>IF($E75="","",IF(AND($E75=$E74,$AH74&lt;&gt;""),$AH74+$AG75,_xlfn._xlws.XLOOKUP($E75,tblAccounts[اسم_الحساب],tblAccounts[رصيد_افتتاحي],0)+$AG75))</f>
        <v/>
      </c>
    </row>
    <row r="76">
      <c r="AG76">
        <f>IF($E76="","",IF($T76="نعم",$F76-$G76,0))</f>
        <v/>
      </c>
      <c r="AH76">
        <f>IF($E76="","",IF(AND($E76=$E75,$AH75&lt;&gt;""),$AH75+$AG76,_xlfn._xlws.XLOOKUP($E76,tblAccounts[اسم_الحساب],tblAccounts[رصيد_افتتاحي],0)+$AG76))</f>
        <v/>
      </c>
    </row>
    <row r="77">
      <c r="AG77">
        <f>IF($E77="","",IF($T77="نعم",$F77-$G77,0))</f>
        <v/>
      </c>
      <c r="AH77">
        <f>IF($E77="","",IF(AND($E77=$E76,$AH76&lt;&gt;""),$AH76+$AG77,_xlfn._xlws.XLOOKUP($E77,tblAccounts[اسم_الحساب],tblAccounts[رصيد_افتتاحي],0)+$AG77))</f>
        <v/>
      </c>
    </row>
    <row r="78">
      <c r="AG78">
        <f>IF($E78="","",IF($T78="نعم",$F78-$G78,0))</f>
        <v/>
      </c>
      <c r="AH78">
        <f>IF($E78="","",IF(AND($E78=$E77,$AH77&lt;&gt;""),$AH77+$AG78,_xlfn._xlws.XLOOKUP($E78,tblAccounts[اسم_الحساب],tblAccounts[رصيد_افتتاحي],0)+$AG78))</f>
        <v/>
      </c>
    </row>
    <row r="79">
      <c r="AG79">
        <f>IF($E79="","",IF($T79="نعم",$F79-$G79,0))</f>
        <v/>
      </c>
      <c r="AH79">
        <f>IF($E79="","",IF(AND($E79=$E78,$AH78&lt;&gt;""),$AH78+$AG79,_xlfn._xlws.XLOOKUP($E79,tblAccounts[اسم_الحساب],tblAccounts[رصيد_افتتاحي],0)+$AG79))</f>
        <v/>
      </c>
    </row>
    <row r="80">
      <c r="AG80">
        <f>IF($E80="","",IF($T80="نعم",$F80-$G80,0))</f>
        <v/>
      </c>
      <c r="AH80">
        <f>IF($E80="","",IF(AND($E80=$E79,$AH79&lt;&gt;""),$AH79+$AG80,_xlfn._xlws.XLOOKUP($E80,tblAccounts[اسم_الحساب],tblAccounts[رصيد_افتتاحي],0)+$AG80))</f>
        <v/>
      </c>
    </row>
    <row r="81">
      <c r="AG81">
        <f>IF($E81="","",IF($T81="نعم",$F81-$G81,0))</f>
        <v/>
      </c>
      <c r="AH81">
        <f>IF($E81="","",IF(AND($E81=$E80,$AH80&lt;&gt;""),$AH80+$AG81,_xlfn._xlws.XLOOKUP($E81,tblAccounts[اسم_الحساب],tblAccounts[رصيد_افتتاحي],0)+$AG81))</f>
        <v/>
      </c>
    </row>
    <row r="82">
      <c r="AG82">
        <f>IF($E82="","",IF($T82="نعم",$F82-$G82,0))</f>
        <v/>
      </c>
      <c r="AH82">
        <f>IF($E82="","",IF(AND($E82=$E81,$AH81&lt;&gt;""),$AH81+$AG82,_xlfn._xlws.XLOOKUP($E82,tblAccounts[اسم_الحساب],tblAccounts[رصيد_افتتاحي],0)+$AG82))</f>
        <v/>
      </c>
    </row>
    <row r="83">
      <c r="AG83">
        <f>IF($E83="","",IF($T83="نعم",$F83-$G83,0))</f>
        <v/>
      </c>
      <c r="AH83">
        <f>IF($E83="","",IF(AND($E83=$E82,$AH82&lt;&gt;""),$AH82+$AG83,_xlfn._xlws.XLOOKUP($E83,tblAccounts[اسم_الحساب],tblAccounts[رصيد_افتتاحي],0)+$AG83))</f>
        <v/>
      </c>
    </row>
    <row r="84">
      <c r="AG84">
        <f>IF($E84="","",IF($T84="نعم",$F84-$G84,0))</f>
        <v/>
      </c>
      <c r="AH84">
        <f>IF($E84="","",IF(AND($E84=$E83,$AH83&lt;&gt;""),$AH83+$AG84,_xlfn._xlws.XLOOKUP($E84,tblAccounts[اسم_الحساب],tblAccounts[رصيد_افتتاحي],0)+$AG84))</f>
        <v/>
      </c>
    </row>
    <row r="85">
      <c r="AG85">
        <f>IF($E85="","",IF($T85="نعم",$F85-$G85,0))</f>
        <v/>
      </c>
      <c r="AH85">
        <f>IF($E85="","",IF(AND($E85=$E84,$AH84&lt;&gt;""),$AH84+$AG85,_xlfn._xlws.XLOOKUP($E85,tblAccounts[اسم_الحساب],tblAccounts[رصيد_افتتاحي],0)+$AG85))</f>
        <v/>
      </c>
    </row>
    <row r="86">
      <c r="AG86">
        <f>IF($E86="","",IF($T86="نعم",$F86-$G86,0))</f>
        <v/>
      </c>
      <c r="AH86">
        <f>IF($E86="","",IF(AND($E86=$E85,$AH85&lt;&gt;""),$AH85+$AG86,_xlfn._xlws.XLOOKUP($E86,tblAccounts[اسم_الحساب],tblAccounts[رصيد_افتتاحي],0)+$AG86))</f>
        <v/>
      </c>
    </row>
    <row r="87">
      <c r="AG87">
        <f>IF($E87="","",IF($T87="نعم",$F87-$G87,0))</f>
        <v/>
      </c>
      <c r="AH87">
        <f>IF($E87="","",IF(AND($E87=$E86,$AH86&lt;&gt;""),$AH86+$AG87,_xlfn._xlws.XLOOKUP($E87,tblAccounts[اسم_الحساب],tblAccounts[رصيد_افتتاحي],0)+$AG87))</f>
        <v/>
      </c>
    </row>
    <row r="88">
      <c r="AG88">
        <f>IF($E88="","",IF($T88="نعم",$F88-$G88,0))</f>
        <v/>
      </c>
      <c r="AH88">
        <f>IF($E88="","",IF(AND($E88=$E87,$AH87&lt;&gt;""),$AH87+$AG88,_xlfn._xlws.XLOOKUP($E88,tblAccounts[اسم_الحساب],tblAccounts[رصيد_افتتاحي],0)+$AG88))</f>
        <v/>
      </c>
    </row>
    <row r="89">
      <c r="AG89">
        <f>IF($E89="","",IF($T89="نعم",$F89-$G89,0))</f>
        <v/>
      </c>
      <c r="AH89">
        <f>IF($E89="","",IF(AND($E89=$E88,$AH88&lt;&gt;""),$AH88+$AG89,_xlfn._xlws.XLOOKUP($E89,tblAccounts[اسم_الحساب],tblAccounts[رصيد_افتتاحي],0)+$AG89))</f>
        <v/>
      </c>
    </row>
    <row r="90">
      <c r="AG90">
        <f>IF($E90="","",IF($T90="نعم",$F90-$G90,0))</f>
        <v/>
      </c>
      <c r="AH90">
        <f>IF($E90="","",IF(AND($E90=$E89,$AH89&lt;&gt;""),$AH89+$AG90,_xlfn._xlws.XLOOKUP($E90,tblAccounts[اسم_الحساب],tblAccounts[رصيد_افتتاحي],0)+$AG90))</f>
        <v/>
      </c>
    </row>
    <row r="91">
      <c r="AG91">
        <f>IF($E91="","",IF($T91="نعم",$F91-$G91,0))</f>
        <v/>
      </c>
      <c r="AH91">
        <f>IF($E91="","",IF(AND($E91=$E90,$AH90&lt;&gt;""),$AH90+$AG91,_xlfn._xlws.XLOOKUP($E91,tblAccounts[اسم_الحساب],tblAccounts[رصيد_افتتاحي],0)+$AG91))</f>
        <v/>
      </c>
    </row>
    <row r="92">
      <c r="AG92">
        <f>IF($E92="","",IF($T92="نعم",$F92-$G92,0))</f>
        <v/>
      </c>
      <c r="AH92">
        <f>IF($E92="","",IF(AND($E92=$E91,$AH91&lt;&gt;""),$AH91+$AG92,_xlfn._xlws.XLOOKUP($E92,tblAccounts[اسم_الحساب],tblAccounts[رصيد_افتتاحي],0)+$AG92))</f>
        <v/>
      </c>
    </row>
    <row r="93">
      <c r="AG93">
        <f>IF($E93="","",IF($T93="نعم",$F93-$G93,0))</f>
        <v/>
      </c>
      <c r="AH93">
        <f>IF($E93="","",IF(AND($E93=$E92,$AH92&lt;&gt;""),$AH92+$AG93,_xlfn._xlws.XLOOKUP($E93,tblAccounts[اسم_الحساب],tblAccounts[رصيد_افتتاحي],0)+$AG93))</f>
        <v/>
      </c>
    </row>
    <row r="94">
      <c r="AG94">
        <f>IF($E94="","",IF($T94="نعم",$F94-$G94,0))</f>
        <v/>
      </c>
      <c r="AH94">
        <f>IF($E94="","",IF(AND($E94=$E93,$AH93&lt;&gt;""),$AH93+$AG94,_xlfn._xlws.XLOOKUP($E94,tblAccounts[اسم_الحساب],tblAccounts[رصيد_افتتاحي],0)+$AG94))</f>
        <v/>
      </c>
    </row>
    <row r="95">
      <c r="AG95">
        <f>IF($E95="","",IF($T95="نعم",$F95-$G95,0))</f>
        <v/>
      </c>
      <c r="AH95">
        <f>IF($E95="","",IF(AND($E95=$E94,$AH94&lt;&gt;""),$AH94+$AG95,_xlfn._xlws.XLOOKUP($E95,tblAccounts[اسم_الحساب],tblAccounts[رصيد_افتتاحي],0)+$AG95))</f>
        <v/>
      </c>
    </row>
    <row r="96">
      <c r="AG96">
        <f>IF($E96="","",IF($T96="نعم",$F96-$G96,0))</f>
        <v/>
      </c>
      <c r="AH96">
        <f>IF($E96="","",IF(AND($E96=$E95,$AH95&lt;&gt;""),$AH95+$AG96,_xlfn._xlws.XLOOKUP($E96,tblAccounts[اسم_الحساب],tblAccounts[رصيد_افتتاحي],0)+$AG96))</f>
        <v/>
      </c>
    </row>
    <row r="97">
      <c r="AG97">
        <f>IF($E97="","",IF($T97="نعم",$F97-$G97,0))</f>
        <v/>
      </c>
      <c r="AH97">
        <f>IF($E97="","",IF(AND($E97=$E96,$AH96&lt;&gt;""),$AH96+$AG97,_xlfn._xlws.XLOOKUP($E97,tblAccounts[اسم_الحساب],tblAccounts[رصيد_افتتاحي],0)+$AG97))</f>
        <v/>
      </c>
    </row>
    <row r="98">
      <c r="AG98">
        <f>IF($E98="","",IF($T98="نعم",$F98-$G98,0))</f>
        <v/>
      </c>
      <c r="AH98">
        <f>IF($E98="","",IF(AND($E98=$E97,$AH97&lt;&gt;""),$AH97+$AG98,_xlfn._xlws.XLOOKUP($E98,tblAccounts[اسم_الحساب],tblAccounts[رصيد_افتتاحي],0)+$AG98))</f>
        <v/>
      </c>
    </row>
    <row r="99">
      <c r="AG99">
        <f>IF($E99="","",IF($T99="نعم",$F99-$G99,0))</f>
        <v/>
      </c>
      <c r="AH99">
        <f>IF($E99="","",IF(AND($E99=$E98,$AH98&lt;&gt;""),$AH98+$AG99,_xlfn._xlws.XLOOKUP($E99,tblAccounts[اسم_الحساب],tblAccounts[رصيد_افتتاحي],0)+$AG99))</f>
        <v/>
      </c>
    </row>
    <row r="100">
      <c r="AG100">
        <f>IF($E100="","",IF($T100="نعم",$F100-$G100,0))</f>
        <v/>
      </c>
      <c r="AH100">
        <f>IF($E100="","",IF(AND($E100=$E99,$AH99&lt;&gt;""),$AH99+$AG100,_xlfn._xlws.XLOOKUP($E100,tblAccounts[اسم_الحساب],tblAccounts[رصيد_افتتاحي],0)+$AG100))</f>
        <v/>
      </c>
    </row>
    <row r="101">
      <c r="AG101">
        <f>IF($E101="","",IF($T101="نعم",$F101-$G101,0))</f>
        <v/>
      </c>
      <c r="AH101">
        <f>IF($E101="","",IF(AND($E101=$E100,$AH100&lt;&gt;""),$AH100+$AG101,_xlfn._xlws.XLOOKUP($E101,tblAccounts[اسم_الحساب],tblAccounts[رصيد_افتتاحي],0)+$AG101))</f>
        <v/>
      </c>
    </row>
    <row r="102">
      <c r="AG102">
        <f>IF($E102="","",IF($T102="نعم",$F102-$G102,0))</f>
        <v/>
      </c>
      <c r="AH102">
        <f>IF($E102="","",IF(AND($E102=$E101,$AH101&lt;&gt;""),$AH101+$AG102,_xlfn._xlws.XLOOKUP($E102,tblAccounts[اسم_الحساب],tblAccounts[رصيد_افتتاحي],0)+$AG102))</f>
        <v/>
      </c>
    </row>
    <row r="103">
      <c r="AG103">
        <f>IF($E103="","",IF($T103="نعم",$F103-$G103,0))</f>
        <v/>
      </c>
      <c r="AH103">
        <f>IF($E103="","",IF(AND($E103=$E102,$AH102&lt;&gt;""),$AH102+$AG103,_xlfn._xlws.XLOOKUP($E103,tblAccounts[اسم_الحساب],tblAccounts[رصيد_افتتاحي],0)+$AG103))</f>
        <v/>
      </c>
    </row>
    <row r="104">
      <c r="AG104">
        <f>IF($E104="","",IF($T104="نعم",$F104-$G104,0))</f>
        <v/>
      </c>
      <c r="AH104">
        <f>IF($E104="","",IF(AND($E104=$E103,$AH103&lt;&gt;""),$AH103+$AG104,_xlfn._xlws.XLOOKUP($E104,tblAccounts[اسم_الحساب],tblAccounts[رصيد_افتتاحي],0)+$AG104))</f>
        <v/>
      </c>
    </row>
    <row r="105">
      <c r="AG105">
        <f>IF($E105="","",IF($T105="نعم",$F105-$G105,0))</f>
        <v/>
      </c>
      <c r="AH105">
        <f>IF($E105="","",IF(AND($E105=$E104,$AH104&lt;&gt;""),$AH104+$AG105,_xlfn._xlws.XLOOKUP($E105,tblAccounts[اسم_الحساب],tblAccounts[رصيد_افتتاحي],0)+$AG105))</f>
        <v/>
      </c>
    </row>
    <row r="106">
      <c r="AG106">
        <f>IF($E106="","",IF($T106="نعم",$F106-$G106,0))</f>
        <v/>
      </c>
      <c r="AH106">
        <f>IF($E106="","",IF(AND($E106=$E105,$AH105&lt;&gt;""),$AH105+$AG106,_xlfn._xlws.XLOOKUP($E106,tblAccounts[اسم_الحساب],tblAccounts[رصيد_افتتاحي],0)+$AG106))</f>
        <v/>
      </c>
    </row>
    <row r="107">
      <c r="AG107">
        <f>IF($E107="","",IF($T107="نعم",$F107-$G107,0))</f>
        <v/>
      </c>
      <c r="AH107">
        <f>IF($E107="","",IF(AND($E107=$E106,$AH106&lt;&gt;""),$AH106+$AG107,_xlfn._xlws.XLOOKUP($E107,tblAccounts[اسم_الحساب],tblAccounts[رصيد_افتتاحي],0)+$AG107))</f>
        <v/>
      </c>
    </row>
    <row r="108">
      <c r="AG108">
        <f>IF($E108="","",IF($T108="نعم",$F108-$G108,0))</f>
        <v/>
      </c>
      <c r="AH108">
        <f>IF($E108="","",IF(AND($E108=$E107,$AH107&lt;&gt;""),$AH107+$AG108,_xlfn._xlws.XLOOKUP($E108,tblAccounts[اسم_الحساب],tblAccounts[رصيد_افتتاحي],0)+$AG108))</f>
        <v/>
      </c>
    </row>
    <row r="109">
      <c r="AG109">
        <f>IF($E109="","",IF($T109="نعم",$F109-$G109,0))</f>
        <v/>
      </c>
      <c r="AH109">
        <f>IF($E109="","",IF(AND($E109=$E108,$AH108&lt;&gt;""),$AH108+$AG109,_xlfn._xlws.XLOOKUP($E109,tblAccounts[اسم_الحساب],tblAccounts[رصيد_افتتاحي],0)+$AG109))</f>
        <v/>
      </c>
    </row>
    <row r="110">
      <c r="AG110">
        <f>IF($E110="","",IF($T110="نعم",$F110-$G110,0))</f>
        <v/>
      </c>
      <c r="AH110">
        <f>IF($E110="","",IF(AND($E110=$E109,$AH109&lt;&gt;""),$AH109+$AG110,_xlfn._xlws.XLOOKUP($E110,tblAccounts[اسم_الحساب],tblAccounts[رصيد_افتتاحي],0)+$AG110))</f>
        <v/>
      </c>
    </row>
    <row r="111">
      <c r="AG111">
        <f>IF($E111="","",IF($T111="نعم",$F111-$G111,0))</f>
        <v/>
      </c>
      <c r="AH111">
        <f>IF($E111="","",IF(AND($E111=$E110,$AH110&lt;&gt;""),$AH110+$AG111,_xlfn._xlws.XLOOKUP($E111,tblAccounts[اسم_الحساب],tblAccounts[رصيد_افتتاحي],0)+$AG111))</f>
        <v/>
      </c>
    </row>
    <row r="112">
      <c r="AG112">
        <f>IF($E112="","",IF($T112="نعم",$F112-$G112,0))</f>
        <v/>
      </c>
      <c r="AH112">
        <f>IF($E112="","",IF(AND($E112=$E111,$AH111&lt;&gt;""),$AH111+$AG112,_xlfn._xlws.XLOOKUP($E112,tblAccounts[اسم_الحساب],tblAccounts[رصيد_افتتاحي],0)+$AG112))</f>
        <v/>
      </c>
    </row>
    <row r="113">
      <c r="AG113">
        <f>IF($E113="","",IF($T113="نعم",$F113-$G113,0))</f>
        <v/>
      </c>
      <c r="AH113">
        <f>IF($E113="","",IF(AND($E113=$E112,$AH112&lt;&gt;""),$AH112+$AG113,_xlfn._xlws.XLOOKUP($E113,tblAccounts[اسم_الحساب],tblAccounts[رصيد_افتتاحي],0)+$AG113))</f>
        <v/>
      </c>
    </row>
    <row r="114">
      <c r="AG114">
        <f>IF($E114="","",IF($T114="نعم",$F114-$G114,0))</f>
        <v/>
      </c>
      <c r="AH114">
        <f>IF($E114="","",IF(AND($E114=$E113,$AH113&lt;&gt;""),$AH113+$AG114,_xlfn._xlws.XLOOKUP($E114,tblAccounts[اسم_الحساب],tblAccounts[رصيد_افتتاحي],0)+$AG114))</f>
        <v/>
      </c>
    </row>
    <row r="115">
      <c r="AG115">
        <f>IF($E115="","",IF($T115="نعم",$F115-$G115,0))</f>
        <v/>
      </c>
      <c r="AH115">
        <f>IF($E115="","",IF(AND($E115=$E114,$AH114&lt;&gt;""),$AH114+$AG115,_xlfn._xlws.XLOOKUP($E115,tblAccounts[اسم_الحساب],tblAccounts[رصيد_افتتاحي],0)+$AG115))</f>
        <v/>
      </c>
    </row>
    <row r="116">
      <c r="AG116">
        <f>IF($E116="","",IF($T116="نعم",$F116-$G116,0))</f>
        <v/>
      </c>
      <c r="AH116">
        <f>IF($E116="","",IF(AND($E116=$E115,$AH115&lt;&gt;""),$AH115+$AG116,_xlfn._xlws.XLOOKUP($E116,tblAccounts[اسم_الحساب],tblAccounts[رصيد_افتتاحي],0)+$AG116))</f>
        <v/>
      </c>
    </row>
    <row r="117">
      <c r="AG117">
        <f>IF($E117="","",IF($T117="نعم",$F117-$G117,0))</f>
        <v/>
      </c>
      <c r="AH117">
        <f>IF($E117="","",IF(AND($E117=$E116,$AH116&lt;&gt;""),$AH116+$AG117,_xlfn._xlws.XLOOKUP($E117,tblAccounts[اسم_الحساب],tblAccounts[رصيد_افتتاحي],0)+$AG117))</f>
        <v/>
      </c>
    </row>
    <row r="118">
      <c r="AG118">
        <f>IF($E118="","",IF($T118="نعم",$F118-$G118,0))</f>
        <v/>
      </c>
      <c r="AH118">
        <f>IF($E118="","",IF(AND($E118=$E117,$AH117&lt;&gt;""),$AH117+$AG118,_xlfn._xlws.XLOOKUP($E118,tblAccounts[اسم_الحساب],tblAccounts[رصيد_افتتاحي],0)+$AG118))</f>
        <v/>
      </c>
    </row>
    <row r="119">
      <c r="AG119">
        <f>IF($E119="","",IF($T119="نعم",$F119-$G119,0))</f>
        <v/>
      </c>
      <c r="AH119">
        <f>IF($E119="","",IF(AND($E119=$E118,$AH118&lt;&gt;""),$AH118+$AG119,_xlfn._xlws.XLOOKUP($E119,tblAccounts[اسم_الحساب],tblAccounts[رصيد_افتتاحي],0)+$AG119))</f>
        <v/>
      </c>
    </row>
    <row r="120">
      <c r="AG120">
        <f>IF($E120="","",IF($T120="نعم",$F120-$G120,0))</f>
        <v/>
      </c>
      <c r="AH120">
        <f>IF($E120="","",IF(AND($E120=$E119,$AH119&lt;&gt;""),$AH119+$AG120,_xlfn._xlws.XLOOKUP($E120,tblAccounts[اسم_الحساب],tblAccounts[رصيد_افتتاحي],0)+$AG120))</f>
        <v/>
      </c>
    </row>
    <row r="121">
      <c r="AG121">
        <f>IF($E121="","",IF($T121="نعم",$F121-$G121,0))</f>
        <v/>
      </c>
      <c r="AH121">
        <f>IF($E121="","",IF(AND($E121=$E120,$AH120&lt;&gt;""),$AH120+$AG121,_xlfn._xlws.XLOOKUP($E121,tblAccounts[اسم_الحساب],tblAccounts[رصيد_افتتاحي],0)+$AG121))</f>
        <v/>
      </c>
    </row>
    <row r="122">
      <c r="AG122">
        <f>IF($E122="","",IF($T122="نعم",$F122-$G122,0))</f>
        <v/>
      </c>
      <c r="AH122">
        <f>IF($E122="","",IF(AND($E122=$E121,$AH121&lt;&gt;""),$AH121+$AG122,_xlfn._xlws.XLOOKUP($E122,tblAccounts[اسم_الحساب],tblAccounts[رصيد_افتتاحي],0)+$AG122))</f>
        <v/>
      </c>
    </row>
    <row r="123">
      <c r="AG123">
        <f>IF($E123="","",IF($T123="نعم",$F123-$G123,0))</f>
        <v/>
      </c>
      <c r="AH123">
        <f>IF($E123="","",IF(AND($E123=$E122,$AH122&lt;&gt;""),$AH122+$AG123,_xlfn._xlws.XLOOKUP($E123,tblAccounts[اسم_الحساب],tblAccounts[رصيد_افتتاحي],0)+$AG123))</f>
        <v/>
      </c>
    </row>
    <row r="124">
      <c r="AG124">
        <f>IF($E124="","",IF($T124="نعم",$F124-$G124,0))</f>
        <v/>
      </c>
      <c r="AH124">
        <f>IF($E124="","",IF(AND($E124=$E123,$AH123&lt;&gt;""),$AH123+$AG124,_xlfn._xlws.XLOOKUP($E124,tblAccounts[اسم_الحساب],tblAccounts[رصيد_افتتاحي],0)+$AG124))</f>
        <v/>
      </c>
    </row>
    <row r="125">
      <c r="AG125">
        <f>IF($E125="","",IF($T125="نعم",$F125-$G125,0))</f>
        <v/>
      </c>
      <c r="AH125">
        <f>IF($E125="","",IF(AND($E125=$E124,$AH124&lt;&gt;""),$AH124+$AG125,_xlfn._xlws.XLOOKUP($E125,tblAccounts[اسم_الحساب],tblAccounts[رصيد_افتتاحي],0)+$AG125))</f>
        <v/>
      </c>
    </row>
    <row r="126">
      <c r="AG126">
        <f>IF($E126="","",IF($T126="نعم",$F126-$G126,0))</f>
        <v/>
      </c>
      <c r="AH126">
        <f>IF($E126="","",IF(AND($E126=$E125,$AH125&lt;&gt;""),$AH125+$AG126,_xlfn._xlws.XLOOKUP($E126,tblAccounts[اسم_الحساب],tblAccounts[رصيد_افتتاحي],0)+$AG126))</f>
        <v/>
      </c>
    </row>
    <row r="127">
      <c r="AG127">
        <f>IF($E127="","",IF($T127="نعم",$F127-$G127,0))</f>
        <v/>
      </c>
      <c r="AH127">
        <f>IF($E127="","",IF(AND($E127=$E126,$AH126&lt;&gt;""),$AH126+$AG127,_xlfn._xlws.XLOOKUP($E127,tblAccounts[اسم_الحساب],tblAccounts[رصيد_افتتاحي],0)+$AG127))</f>
        <v/>
      </c>
    </row>
    <row r="128">
      <c r="AG128">
        <f>IF($E128="","",IF($T128="نعم",$F128-$G128,0))</f>
        <v/>
      </c>
      <c r="AH128">
        <f>IF($E128="","",IF(AND($E128=$E127,$AH127&lt;&gt;""),$AH127+$AG128,_xlfn._xlws.XLOOKUP($E128,tblAccounts[اسم_الحساب],tblAccounts[رصيد_افتتاحي],0)+$AG128))</f>
        <v/>
      </c>
    </row>
    <row r="129">
      <c r="AG129">
        <f>IF($E129="","",IF($T129="نعم",$F129-$G129,0))</f>
        <v/>
      </c>
      <c r="AH129">
        <f>IF($E129="","",IF(AND($E129=$E128,$AH128&lt;&gt;""),$AH128+$AG129,_xlfn._xlws.XLOOKUP($E129,tblAccounts[اسم_الحساب],tblAccounts[رصيد_افتتاحي],0)+$AG129))</f>
        <v/>
      </c>
    </row>
    <row r="130">
      <c r="AG130">
        <f>IF($E130="","",IF($T130="نعم",$F130-$G130,0))</f>
        <v/>
      </c>
      <c r="AH130">
        <f>IF($E130="","",IF(AND($E130=$E129,$AH129&lt;&gt;""),$AH129+$AG130,_xlfn._xlws.XLOOKUP($E130,tblAccounts[اسم_الحساب],tblAccounts[رصيد_افتتاحي],0)+$AG130))</f>
        <v/>
      </c>
    </row>
    <row r="131">
      <c r="AG131">
        <f>IF($E131="","",IF($T131="نعم",$F131-$G131,0))</f>
        <v/>
      </c>
      <c r="AH131">
        <f>IF($E131="","",IF(AND($E131=$E130,$AH130&lt;&gt;""),$AH130+$AG131,_xlfn._xlws.XLOOKUP($E131,tblAccounts[اسم_الحساب],tblAccounts[رصيد_افتتاحي],0)+$AG131))</f>
        <v/>
      </c>
    </row>
    <row r="132">
      <c r="AG132">
        <f>IF($E132="","",IF($T132="نعم",$F132-$G132,0))</f>
        <v/>
      </c>
      <c r="AH132">
        <f>IF($E132="","",IF(AND($E132=$E131,$AH131&lt;&gt;""),$AH131+$AG132,_xlfn._xlws.XLOOKUP($E132,tblAccounts[اسم_الحساب],tblAccounts[رصيد_افتتاحي],0)+$AG132))</f>
        <v/>
      </c>
    </row>
    <row r="133">
      <c r="AG133">
        <f>IF($E133="","",IF($T133="نعم",$F133-$G133,0))</f>
        <v/>
      </c>
      <c r="AH133">
        <f>IF($E133="","",IF(AND($E133=$E132,$AH132&lt;&gt;""),$AH132+$AG133,_xlfn._xlws.XLOOKUP($E133,tblAccounts[اسم_الحساب],tblAccounts[رصيد_افتتاحي],0)+$AG133))</f>
        <v/>
      </c>
    </row>
    <row r="134">
      <c r="AG134">
        <f>IF($E134="","",IF($T134="نعم",$F134-$G134,0))</f>
        <v/>
      </c>
      <c r="AH134">
        <f>IF($E134="","",IF(AND($E134=$E133,$AH133&lt;&gt;""),$AH133+$AG134,_xlfn._xlws.XLOOKUP($E134,tblAccounts[اسم_الحساب],tblAccounts[رصيد_افتتاحي],0)+$AG134))</f>
        <v/>
      </c>
    </row>
    <row r="135">
      <c r="AG135">
        <f>IF($E135="","",IF($T135="نعم",$F135-$G135,0))</f>
        <v/>
      </c>
      <c r="AH135">
        <f>IF($E135="","",IF(AND($E135=$E134,$AH134&lt;&gt;""),$AH134+$AG135,_xlfn._xlws.XLOOKUP($E135,tblAccounts[اسم_الحساب],tblAccounts[رصيد_افتتاحي],0)+$AG135))</f>
        <v/>
      </c>
    </row>
    <row r="136">
      <c r="AG136">
        <f>IF($E136="","",IF($T136="نعم",$F136-$G136,0))</f>
        <v/>
      </c>
      <c r="AH136">
        <f>IF($E136="","",IF(AND($E136=$E135,$AH135&lt;&gt;""),$AH135+$AG136,_xlfn._xlws.XLOOKUP($E136,tblAccounts[اسم_الحساب],tblAccounts[رصيد_افتتاحي],0)+$AG136))</f>
        <v/>
      </c>
    </row>
    <row r="137">
      <c r="AG137">
        <f>IF($E137="","",IF($T137="نعم",$F137-$G137,0))</f>
        <v/>
      </c>
      <c r="AH137">
        <f>IF($E137="","",IF(AND($E137=$E136,$AH136&lt;&gt;""),$AH136+$AG137,_xlfn._xlws.XLOOKUP($E137,tblAccounts[اسم_الحساب],tblAccounts[رصيد_افتتاحي],0)+$AG137))</f>
        <v/>
      </c>
    </row>
    <row r="138">
      <c r="AG138">
        <f>IF($E138="","",IF($T138="نعم",$F138-$G138,0))</f>
        <v/>
      </c>
      <c r="AH138">
        <f>IF($E138="","",IF(AND($E138=$E137,$AH137&lt;&gt;""),$AH137+$AG138,_xlfn._xlws.XLOOKUP($E138,tblAccounts[اسم_الحساب],tblAccounts[رصيد_افتتاحي],0)+$AG138))</f>
        <v/>
      </c>
    </row>
    <row r="139">
      <c r="AG139">
        <f>IF($E139="","",IF($T139="نعم",$F139-$G139,0))</f>
        <v/>
      </c>
      <c r="AH139">
        <f>IF($E139="","",IF(AND($E139=$E138,$AH138&lt;&gt;""),$AH138+$AG139,_xlfn._xlws.XLOOKUP($E139,tblAccounts[اسم_الحساب],tblAccounts[رصيد_افتتاحي],0)+$AG139))</f>
        <v/>
      </c>
    </row>
    <row r="140">
      <c r="AG140">
        <f>IF($E140="","",IF($T140="نعم",$F140-$G140,0))</f>
        <v/>
      </c>
      <c r="AH140">
        <f>IF($E140="","",IF(AND($E140=$E139,$AH139&lt;&gt;""),$AH139+$AG140,_xlfn._xlws.XLOOKUP($E140,tblAccounts[اسم_الحساب],tblAccounts[رصيد_افتتاحي],0)+$AG140))</f>
        <v/>
      </c>
    </row>
    <row r="141">
      <c r="AG141">
        <f>IF($E141="","",IF($T141="نعم",$F141-$G141,0))</f>
        <v/>
      </c>
      <c r="AH141">
        <f>IF($E141="","",IF(AND($E141=$E140,$AH140&lt;&gt;""),$AH140+$AG141,_xlfn._xlws.XLOOKUP($E141,tblAccounts[اسم_الحساب],tblAccounts[رصيد_افتتاحي],0)+$AG141))</f>
        <v/>
      </c>
    </row>
    <row r="142">
      <c r="AG142">
        <f>IF($E142="","",IF($T142="نعم",$F142-$G142,0))</f>
        <v/>
      </c>
      <c r="AH142">
        <f>IF($E142="","",IF(AND($E142=$E141,$AH141&lt;&gt;""),$AH141+$AG142,_xlfn._xlws.XLOOKUP($E142,tblAccounts[اسم_الحساب],tblAccounts[رصيد_افتتاحي],0)+$AG142))</f>
        <v/>
      </c>
    </row>
    <row r="143">
      <c r="AG143">
        <f>IF($E143="","",IF($T143="نعم",$F143-$G143,0))</f>
        <v/>
      </c>
      <c r="AH143">
        <f>IF($E143="","",IF(AND($E143=$E142,$AH142&lt;&gt;""),$AH142+$AG143,_xlfn._xlws.XLOOKUP($E143,tblAccounts[اسم_الحساب],tblAccounts[رصيد_افتتاحي],0)+$AG143))</f>
        <v/>
      </c>
    </row>
    <row r="144">
      <c r="AG144">
        <f>IF($E144="","",IF($T144="نعم",$F144-$G144,0))</f>
        <v/>
      </c>
      <c r="AH144">
        <f>IF($E144="","",IF(AND($E144=$E143,$AH143&lt;&gt;""),$AH143+$AG144,_xlfn._xlws.XLOOKUP($E144,tblAccounts[اسم_الحساب],tblAccounts[رصيد_افتتاحي],0)+$AG144))</f>
        <v/>
      </c>
    </row>
    <row r="145">
      <c r="AG145">
        <f>IF($E145="","",IF($T145="نعم",$F145-$G145,0))</f>
        <v/>
      </c>
      <c r="AH145">
        <f>IF($E145="","",IF(AND($E145=$E144,$AH144&lt;&gt;""),$AH144+$AG145,_xlfn._xlws.XLOOKUP($E145,tblAccounts[اسم_الحساب],tblAccounts[رصيد_افتتاحي],0)+$AG145))</f>
        <v/>
      </c>
    </row>
    <row r="146">
      <c r="AG146">
        <f>IF($E146="","",IF($T146="نعم",$F146-$G146,0))</f>
        <v/>
      </c>
      <c r="AH146">
        <f>IF($E146="","",IF(AND($E146=$E145,$AH145&lt;&gt;""),$AH145+$AG146,_xlfn._xlws.XLOOKUP($E146,tblAccounts[اسم_الحساب],tblAccounts[رصيد_افتتاحي],0)+$AG146))</f>
        <v/>
      </c>
    </row>
    <row r="147">
      <c r="AG147">
        <f>IF($E147="","",IF($T147="نعم",$F147-$G147,0))</f>
        <v/>
      </c>
      <c r="AH147">
        <f>IF($E147="","",IF(AND($E147=$E146,$AH146&lt;&gt;""),$AH146+$AG147,_xlfn._xlws.XLOOKUP($E147,tblAccounts[اسم_الحساب],tblAccounts[رصيد_افتتاحي],0)+$AG147))</f>
        <v/>
      </c>
    </row>
    <row r="148">
      <c r="AG148">
        <f>IF($E148="","",IF($T148="نعم",$F148-$G148,0))</f>
        <v/>
      </c>
      <c r="AH148">
        <f>IF($E148="","",IF(AND($E148=$E147,$AH147&lt;&gt;""),$AH147+$AG148,_xlfn._xlws.XLOOKUP($E148,tblAccounts[اسم_الحساب],tblAccounts[رصيد_افتتاحي],0)+$AG148))</f>
        <v/>
      </c>
    </row>
    <row r="149">
      <c r="AG149">
        <f>IF($E149="","",IF($T149="نعم",$F149-$G149,0))</f>
        <v/>
      </c>
      <c r="AH149">
        <f>IF($E149="","",IF(AND($E149=$E148,$AH148&lt;&gt;""),$AH148+$AG149,_xlfn._xlws.XLOOKUP($E149,tblAccounts[اسم_الحساب],tblAccounts[رصيد_افتتاحي],0)+$AG149))</f>
        <v/>
      </c>
    </row>
    <row r="150">
      <c r="AG150">
        <f>IF($E150="","",IF($T150="نعم",$F150-$G150,0))</f>
        <v/>
      </c>
      <c r="AH150">
        <f>IF($E150="","",IF(AND($E150=$E149,$AH149&lt;&gt;""),$AH149+$AG150,_xlfn._xlws.XLOOKUP($E150,tblAccounts[اسم_الحساب],tblAccounts[رصيد_افتتاحي],0)+$AG150))</f>
        <v/>
      </c>
    </row>
    <row r="151">
      <c r="AG151">
        <f>IF($E151="","",IF($T151="نعم",$F151-$G151,0))</f>
        <v/>
      </c>
      <c r="AH151">
        <f>IF($E151="","",IF(AND($E151=$E150,$AH150&lt;&gt;""),$AH150+$AG151,_xlfn._xlws.XLOOKUP($E151,tblAccounts[اسم_الحساب],tblAccounts[رصيد_افتتاحي],0)+$AG151))</f>
        <v/>
      </c>
    </row>
    <row r="152">
      <c r="AG152">
        <f>IF($E152="","",IF($T152="نعم",$F152-$G152,0))</f>
        <v/>
      </c>
      <c r="AH152">
        <f>IF($E152="","",IF(AND($E152=$E151,$AH151&lt;&gt;""),$AH151+$AG152,_xlfn._xlws.XLOOKUP($E152,tblAccounts[اسم_الحساب],tblAccounts[رصيد_افتتاحي],0)+$AG152))</f>
        <v/>
      </c>
    </row>
    <row r="153">
      <c r="AG153">
        <f>IF($E153="","",IF($T153="نعم",$F153-$G153,0))</f>
        <v/>
      </c>
      <c r="AH153">
        <f>IF($E153="","",IF(AND($E153=$E152,$AH152&lt;&gt;""),$AH152+$AG153,_xlfn._xlws.XLOOKUP($E153,tblAccounts[اسم_الحساب],tblAccounts[رصيد_افتتاحي],0)+$AG153))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كل الحركات المعتمدة + العكس (مرجع أصلي)</t>
        </is>
      </c>
    </row>
    <row r="3">
      <c r="A3">
        <f>IFERROR(_xlfn._xlws.FILTER(tblMove,(tblMove[حالة_الاعتماد]="معتمد")+(tblMove[نوع_الحركة]="عكس")),"")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حركات معلقة</t>
        </is>
      </c>
    </row>
    <row r="3">
      <c r="A3">
        <f>IFERROR(_xlfn._xlws.FILTER(tblMove,(tblMove[حالة_الاعتماد]="معلق")),"")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تاريخ_كشف_البنك</t>
        </is>
      </c>
      <c r="B1" t="inlineStr"/>
    </row>
    <row r="2">
      <c r="A2" t="inlineStr">
        <is>
          <t>رصيد_الكشف</t>
        </is>
      </c>
      <c r="B2" t="n">
        <v>0</v>
      </c>
    </row>
    <row r="4">
      <c r="A4" t="inlineStr">
        <is>
          <t>رصيد_دفتر_بنك_متاح</t>
        </is>
      </c>
      <c r="B4">
        <f>SUMIFS(tblMove[مدين],tblMove[الحساب],"بنك_متاح",tblMove[حالة_الاعتماد],"معتمد",tblMove[يؤثر_في_الرصيد],"نعم")-SUMIFS(tblMove[دائن],tblMove[الحساب],"بنك_متاح",tblMove[حالة_الاعتماد],"معتمد",tblMove[يؤثر_في_الرصيد],"نعم")+SUMIF(tblAccounts[اسم_الحساب],"بنك_متاح",tblAccounts[رصيد_افتتاحي])</f>
        <v/>
      </c>
    </row>
    <row r="5">
      <c r="A5" t="inlineStr">
        <is>
          <t>فرق_المطابقة</t>
        </is>
      </c>
      <c r="B5">
        <f>B2-B4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التاريخ</t>
        </is>
      </c>
      <c r="B1" s="2" t="inlineStr">
        <is>
          <t>الحساب</t>
        </is>
      </c>
      <c r="C1" s="2" t="inlineStr">
        <is>
          <t>رصيد_الدفتر</t>
        </is>
      </c>
      <c r="D1" s="2" t="inlineStr">
        <is>
          <t>عد_فعلي</t>
        </is>
      </c>
      <c r="E1" s="2" t="inlineStr">
        <is>
          <t>فرق</t>
        </is>
      </c>
      <c r="F1" s="2" t="inlineStr">
        <is>
          <t>سبب</t>
        </is>
      </c>
      <c r="G1" s="2" t="inlineStr">
        <is>
          <t>معتمد</t>
        </is>
      </c>
    </row>
    <row r="2">
      <c r="C2">
        <f>SUMIFS(tblMove[مدين],tblMove[الحساب],"خزينة نقدية",tblMove[حالة_الاعتماد],"معتمد",tblMove[يؤثر_في_الرصيد],"نعم")-SUMIFS(tblMove[دائن],tblMove[الحساب],"خزينة نقدية",tblMove[حالة_الاعتماد],"معتمد",tblMove[يؤثر_في_الرصيد],"نعم")</f>
        <v/>
      </c>
      <c r="E2">
        <f>D2-C2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تدفقات تشغيلية (يُحسب_في_التدفق_التجاري = نعم فقط)</t>
        </is>
      </c>
    </row>
    <row r="3">
      <c r="A3" t="inlineStr">
        <is>
          <t>إجمالي_قبض_تجاري</t>
        </is>
      </c>
      <c r="B3">
        <f>SUMIFS(tblMove[الإجمالي],tblMove[نوع_الحركة],"قبض",tblMove[يُحسب_في_التدفق_التجاري],"نعم",tblMove[حالة_الاعتماد],"معتمد",tblMove[يؤثر_في_الرصيد],"نعم",tblMove[حالة_السجل],"&lt;&gt;معكوسة")</f>
        <v/>
      </c>
    </row>
    <row r="4">
      <c r="A4" t="inlineStr">
        <is>
          <t>إجمالي_صرف_تجاري</t>
        </is>
      </c>
      <c r="B4">
        <f>SUMIFS(tblMove[الإجمالي],tblMove[نوع_الحركة],"صرف",tblMove[يُحسب_في_التدفق_التجاري],"نعم",tblMove[حالة_الاعتماد],"معتمد",tblMove[يؤثر_في_الرصيد],"نعم",tblMove[حالة_السجل],"&lt;&gt;معكوسة")</f>
        <v/>
      </c>
    </row>
    <row r="5">
      <c r="A5" t="inlineStr">
        <is>
          <t>صافي_تشغيلي</t>
        </is>
      </c>
      <c r="B5">
        <f>B3-B4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قبض تجاري حسب قناة_البيع</t>
        </is>
      </c>
    </row>
    <row r="3">
      <c r="A3" t="inlineStr">
        <is>
          <t>القناة</t>
        </is>
      </c>
      <c r="B3" t="inlineStr">
        <is>
          <t>المبلغ</t>
        </is>
      </c>
    </row>
    <row r="4">
      <c r="A4" t="inlineStr">
        <is>
          <t>صيدليات</t>
        </is>
      </c>
      <c r="B4">
        <f>SUMIFS(tblMove[الإجمالي],tblMove[قناة_البيع],"صيدليات",tblMove[يُحسب_في_التدفق_التجاري],"نعم",tblMove[حالة_الاعتماد],"معتمد",tblMove[نوع_الحركة],"قبض")</f>
        <v/>
      </c>
    </row>
    <row r="5">
      <c r="A5" t="inlineStr">
        <is>
          <t>موزعون</t>
        </is>
      </c>
      <c r="B5">
        <f>SUMIFS(tblMove[الإجمالي],tblMove[قناة_البيع],"موزعون",tblMove[يُحسب_في_التدفق_التجاري],"نعم",tblMove[حالة_الاعتماد],"معتمد",tblMove[نوع_الحركة],"قبض")</f>
        <v/>
      </c>
    </row>
    <row r="6">
      <c r="A6" t="inlineStr">
        <is>
          <t>مستشفيات</t>
        </is>
      </c>
      <c r="B6">
        <f>SUMIFS(tblMove[الإجمالي],tblMove[قناة_البيع],"مستشفيات",tblMove[يُحسب_في_التدفق_التجاري],"نعم",tblMove[حالة_الاعتماد],"معتمد",tblMove[نوع_الحركة],"قبض")</f>
        <v/>
      </c>
    </row>
    <row r="7">
      <c r="A7" t="inlineStr">
        <is>
          <t>قطاع_حكومي</t>
        </is>
      </c>
      <c r="B7">
        <f>SUMIFS(tblMove[الإجمالي],tblMove[قناة_البيع],"قطاع_حكومي",tblMove[يُحسب_في_التدفق_التجاري],"نعم",tblMove[حالة_الاعتماد],"معتمد",tblMove[نوع_الحركة],"قبض")</f>
        <v/>
      </c>
    </row>
    <row r="8">
      <c r="A8" t="inlineStr">
        <is>
          <t>أخرى</t>
        </is>
      </c>
      <c r="B8">
        <f>SUMIFS(tblMove[الإجمالي],tblMove[قناة_البيع],"أخرى",tblMove[يُحسب_في_التدفق_التجاري],"نعم",tblMove[حالة_الاعتماد],"معتمد",tblMove[نوع_الحركة],"قبض")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لوحة التحكم</t>
        </is>
      </c>
    </row>
    <row r="3">
      <c r="A3" t="inlineStr">
        <is>
          <t>سيولة_متاحة (افتتاحي+حركة)</t>
        </is>
      </c>
      <c r="B3">
        <f>SUMIFS(tblAccounts[رصيد_افتتاحي],tblAccounts[يُدرج_في_السيولة_المتاحة],"نعم")</f>
        <v/>
      </c>
    </row>
    <row r="4">
      <c r="A4" t="inlineStr">
        <is>
          <t>شيكات_تحت_التحصيل (وسيط)</t>
        </is>
      </c>
      <c r="B4">
        <f>SUMIFS(tblMove[مدين],tblMove[الحساب],"شيكات_مودعة_تحت_التحصيل",tblMove[يؤثر_في_الرصيد],"نعم")-SUMIFS(tblMove[دائن],tblMove[الحساب],"شيكات_مودعة_تحت_التحصيل",tblMove[يؤثر_في_الرصيد],"نعم")</f>
        <v/>
      </c>
    </row>
    <row r="6">
      <c r="A6" t="inlineStr">
        <is>
          <t>رصيد_خزينة (من _دفتر_مرتب)</t>
        </is>
      </c>
      <c r="B6">
        <f>IFERROR(_xlfn._xlws.XLOOKUP("خزينة نقدية",'_دفتر_مرتب'!E:E,'_دفتر_مرتب'!AH:AH,"",,-1),0)</f>
        <v/>
      </c>
    </row>
    <row r="7">
      <c r="A7" t="inlineStr">
        <is>
          <t>رصيد_بنك_متاح</t>
        </is>
      </c>
      <c r="B7">
        <f>IFERROR(_xlfn._xlws.XLOOKUP("بنك_متاح",'_دفتر_مرتب'!E:E,'_دفتر_مرتب'!AH:AH,"",,-1),0)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ملخص شهري (حركات معتمدة — tblMove)</t>
        </is>
      </c>
    </row>
    <row r="3">
      <c r="A3" t="inlineStr">
        <is>
          <t>الشهر</t>
        </is>
      </c>
      <c r="B3" t="inlineStr">
        <is>
          <t>قبض_تجاري</t>
        </is>
      </c>
      <c r="C3" t="inlineStr">
        <is>
          <t>صرف_تجاري</t>
        </is>
      </c>
    </row>
    <row r="4">
      <c r="A4" t="inlineStr">
        <is>
          <t>استخدم Pivot على دفتر_الحركات_المعتمدة أو SUMIFS بالتاريخ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2026-10-09T07:54:41Z</dcterms:created>
  <dcterms:modified xsi:type="dcterms:W3CDTF">2026-10-09T07:54:41Z</dcterms:modified>
</cp:coreProperties>
</file>